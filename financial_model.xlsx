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Unit economics" sheetId="2" state="visible" r:id="rId4"/>
    <sheet name="P&amp;L" sheetId="3" state="visible" r:id="rId5"/>
    <sheet name="Cash flow" sheetId="4" state="visible" r:id="rId6"/>
    <sheet name="Balance sheet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<sst xmlns="http://schemas.openxmlformats.org/spreadsheetml/2006/main" count="695" uniqueCount="487">
  <si>
    <t xml:space="preserve">mTBI Screening Tool — Financial Model — Assumptions</t>
  </si>
  <si>
    <t xml:space="preserve">Single source of truth. Every other tab references this one. Edit only blue (input) or orange (provisional) cells. Set unused tier/role/capex slots to 0 — formulas adapt automatically.</t>
  </si>
  <si>
    <t xml:space="preserve">Year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</si>
  <si>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</si>
  <si>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</si>
  <si>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</si>
  <si>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</si>
  <si>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</si>
  <si>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</si>
  <si>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</si>
  <si>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Period number</t>
  </si>
  <si>
    <t xml:space="preserve">(driver)</t>
  </si>
  <si>
    <t xml:space="preserve">Calendar year</t>
  </si>
  <si>
    <t xml:space="preserve">Phase</t>
  </si>
  <si>
    <t xml:space="preserve">1 = research validation, 2 = first commercial, 3 = scale-up</t>
  </si>
  <si>
    <t xml:space="preserve">0. SANITY CHECKS</t>
  </si>
  <si>
    <t xml:space="preserve">Total headsets = 3 × inst + parent</t>
  </si>
  <si>
    <t xml:space="preserve">Should display OK across the row (row 15 = $B$26·row28 + row29)</t>
  </si>
  <si>
    <t xml:space="preserve">Cash never below buffer</t>
  </si>
  <si>
    <t xml:space="preserve">From Cash flow tab — checks all 9 closing-cash years</t>
  </si>
  <si>
    <t xml:space="preserve">Balance sheet balances</t>
  </si>
  <si>
    <t xml:space="preserve">From Balance sheet tab — sum of absolute differences</t>
  </si>
  <si>
    <t xml:space="preserve">1. ADOPTION RAMP   (derived from GTM channel mix, §3)</t>
  </si>
  <si>
    <t xml:space="preserve">Total headsets sold per year (derived)</t>
  </si>
  <si>
    <t xml:space="preserve">headsets</t>
  </si>
  <si>
    <t xml:space="preserve"> = 3 × institutional buyers + parent buyers (rows 28–29)</t>
  </si>
  <si>
    <t xml:space="preserve">Annual subscription churn</t>
  </si>
  <si>
    <t xml:space="preserve">% per year</t>
  </si>
  <si>
    <t xml:space="preserve">ch.9 §9.4 indicative; applied to start-of-year base</t>
  </si>
  <si>
    <t xml:space="preserve">Active headset subscriptions (end of year)</t>
  </si>
  <si>
    <t xml:space="preserve">subs</t>
  </si>
  <si>
    <t xml:space="preserve">prior × (1 − churn) + institutional buyers × headsets/inst × attach × adoption</t>
  </si>
  <si>
    <t xml:space="preserve">Average headset subscriptions (year)</t>
  </si>
  <si>
    <t xml:space="preserve">(start + end) / 2; drives subscription revenue</t>
  </si>
  <si>
    <t xml:space="preserve">Cumulative headsets sold (end of year)</t>
  </si>
  <si>
    <t xml:space="preserve">2. HARDWARE PRICING</t>
  </si>
  <si>
    <t xml:space="preserve">Hardware ASP</t>
  </si>
  <si>
    <t xml:space="preserve">£/unit</t>
  </si>
  <si>
    <t xml:space="preserve">ch.9 §9.4: mid of £250–350 range; allow time-varying</t>
  </si>
  <si>
    <t xml:space="preserve">Returns allowance</t>
  </si>
  <si>
    <t xml:space="preserve">% of hardware revenue</t>
  </si>
  <si>
    <t xml:space="preserve">ch.9 §Warranty and Returns: DOA + trial-period returns only; in-warranty repairs covered separately by warranty provision</t>
  </si>
  <si>
    <t xml:space="preserve">3. GTM CHANNEL MIX, SUBSCRIPTION &amp; MARKETING SPLIT</t>
  </si>
  <si>
    <t xml:space="preserve">Headsets per institutional buyer</t>
  </si>
  <si>
    <t xml:space="preserve">headsets/buyer</t>
  </si>
  <si>
    <t xml:space="preserve">ch.10 §10.2: schools/clubs each cover multiple sports</t>
  </si>
  <si>
    <t xml:space="preserve">Subscription price per headset</t>
  </si>
  <si>
    <t xml:space="preserve">£/headset/yr</t>
  </si>
  <si>
    <t xml:space="preserve">ch.10 §10.2: flat £600/yr; per-headset billing</t>
  </si>
  <si>
    <t xml:space="preserve">Institutional buyers (schools + clubs)</t>
  </si>
  <si>
    <t xml:space="preserve">buyers</t>
  </si>
  <si>
    <t xml:space="preserve">ch.10 §10.2 (Phase 2 paid + Phase 3 institutional, scaling through Y7)</t>
  </si>
  <si>
    <t xml:space="preserve">DTC buyers (direct-to-consumer, no subscription)</t>
  </si>
  <si>
    <t xml:space="preserve">ch.10 §10.3 (3% / 4% / 6% conversion ramp on effective exposure)</t>
  </si>
  <si>
    <t xml:space="preserve">Institutional channel marketing</t>
  </si>
  <si>
    <t xml:space="preserve">£/yr</t>
  </si>
  <si>
    <t xml:space="preserve">B2B sales floor: conferences, sales reps, materials</t>
  </si>
  <si>
    <t xml:space="preserve">DTC channel marketing</t>
  </si>
  <si>
    <t xml:space="preserve">Parent acquisition: digital, social, content marketing</t>
  </si>
  <si>
    <t xml:space="preserve">Subscription ARPU per headset</t>
  </si>
  <si>
    <t xml:space="preserve">£/sub/yr</t>
  </si>
  <si>
    <t xml:space="preserve"> = $B$27 × ARPU scenario multiplier</t>
  </si>
  <si>
    <t xml:space="preserve">Subscription attach (per institutional headset)</t>
  </si>
  <si>
    <t xml:space="preserve">% of inst. headsets</t>
  </si>
  <si>
    <t xml:space="preserve">100% by construction; DTC excluded in row 17 by using delayed_inst</t>
  </si>
  <si>
    <t xml:space="preserve">4. OTHER REVENUE LINES   (toggle on/off)</t>
  </si>
  <si>
    <t xml:space="preserve">Research licences   (1 = on, 0 = off)</t>
  </si>
  <si>
    <t xml:space="preserve">Research licence sites per year</t>
  </si>
  <si>
    <t xml:space="preserve">sites</t>
  </si>
  <si>
    <t xml:space="preserve">Research licence £ per site per year</t>
  </si>
  <si>
    <t xml:space="preserve">£/site/yr</t>
  </si>
  <si>
    <t xml:space="preserve">Accessories &amp; consumables   (1 = on, 0 = off)</t>
  </si>
  <si>
    <t xml:space="preserve">Accessories £/yr per active subscriber</t>
  </si>
  <si>
    <t xml:space="preserve">Wipes, replacement facial interfaces, straps</t>
  </si>
  <si>
    <t xml:space="preserve">Accessories gross margin %</t>
  </si>
  <si>
    <t xml:space="preserve">%</t>
  </si>
  <si>
    <t xml:space="preserve">Markup on consumables; assumed similar to medical disposables</t>
  </si>
  <si>
    <t xml:space="preserve">Extended warranty   (1 = on, 0 = off)</t>
  </si>
  <si>
    <t xml:space="preserve">Extended warranty attach % at point of sale</t>
  </si>
  <si>
    <t xml:space="preserve">Extended warranty £ per attached unit</t>
  </si>
  <si>
    <t xml:space="preserve">Extended warranty gross margin %</t>
  </si>
  <si>
    <t xml:space="preserve">ch.9 §9.5: 40–50% range</t>
  </si>
  <si>
    <t xml:space="preserve">5. COST OF GOODS SOLD</t>
  </si>
  <si>
    <t xml:space="preserve">Unit cost — P1 (~10 units)</t>
  </si>
  <si>
    <t xml:space="preserve">ch.9 tab:unit-cost-stack P1 midpoint (305-380)</t>
  </si>
  <si>
    <t xml:space="preserve">Unit cost — P2 (~500 units)</t>
  </si>
  <si>
    <t xml:space="preserve">ch.9 tab:unit-cost-stack P2 midpoint (252-318)</t>
  </si>
  <si>
    <t xml:space="preserve">Unit cost — P3 (~10k units, RK3588S migration)</t>
  </si>
  <si>
    <t xml:space="preserve">ch.9 tab:unit-cost-stack P3 midpoint (138-209)</t>
  </si>
  <si>
    <t xml:space="preserve">Effective unit cost per year</t>
  </si>
  <si>
    <t xml:space="preserve">CHOOSE(phase, P1, P2, P3) × BOM scenario multiplier</t>
  </si>
  <si>
    <t xml:space="preserve">Subscription COGS as % of subscription revenue</t>
  </si>
  <si>
    <t xml:space="preserve">hosting, support tooling, data egress</t>
  </si>
  <si>
    <t xml:space="preserve">6. HEADCOUNT &amp; PAYROLL</t>
  </si>
  <si>
    <t xml:space="preserve">Role</t>
  </si>
  <si>
    <t xml:space="preserve">Salary £/yr</t>
  </si>
  <si>
    <t xml:space="preserve">FTE Y1</t>
  </si>
  <si>
    <t xml:space="preserve">FTE Y2</t>
  </si>
  <si>
    <t xml:space="preserve">FTE Y3</t>
  </si>
  <si>
    <t xml:space="preserve">FTE Y4</t>
  </si>
  <si>
    <t xml:space="preserve">FTE Y5</t>
  </si>
  <si>
    <t xml:space="preserve">FTE Y6</t>
  </si>
  <si>
    <t xml:space="preserve">FTE Y7</t>
  </si>
  <si>
    <t xml:space="preserve">CEO / commercial lead</t>
  </si>
  <si>
    <t xml:space="preserve">Engineering (HW / firmware / CV)</t>
  </si>
  <si>
    <t xml:space="preserve">Regulatory &amp; quality</t>
  </si>
  <si>
    <t xml:space="preserve">Clinical research</t>
  </si>
  <si>
    <t xml:space="preserve">Sales / business development</t>
  </si>
  <si>
    <t xml:space="preserve">Operations / supply chain</t>
  </si>
  <si>
    <t xml:space="preserve">Customer support</t>
  </si>
  <si>
    <t xml:space="preserve">(spare slot)</t>
  </si>
  <si>
    <t xml:space="preserve">Total FTE</t>
  </si>
  <si>
    <t xml:space="preserve">Base payroll  (cash salaries)</t>
  </si>
  <si>
    <t xml:space="preserve">£</t>
  </si>
  <si>
    <t xml:space="preserve">Founder cash adjustment</t>
  </si>
  <si>
    <t xml:space="preserve">Negative = founders take partial cash; affects P1–P2 only</t>
  </si>
  <si>
    <t xml:space="preserve">On-cost loading %</t>
  </si>
  <si>
    <t xml:space="preserve">ch.9 §9.5: NI 12–14% + pension 3% + benefits ~2%</t>
  </si>
  <si>
    <t xml:space="preserve">Loaded payroll  (incl. on-cost)</t>
  </si>
  <si>
    <t xml:space="preserve">(base + founder adj) × (1 + on-cost) × payroll scenario multiplier</t>
  </si>
  <si>
    <t xml:space="preserve">Sales commission %</t>
  </si>
  <si>
    <t xml:space="preserve">% of new ARR</t>
  </si>
  <si>
    <t xml:space="preserve">Applied to gross new subscription revenue</t>
  </si>
  <si>
    <t xml:space="preserve">Sales commission £</t>
  </si>
  <si>
    <t xml:space="preserve">institutional buyers × headsets/inst × adoption × attach × ARPU × commission %</t>
  </si>
  <si>
    <t xml:space="preserve">Total people cost</t>
  </si>
  <si>
    <t xml:space="preserve"> = loaded payroll + sales commission</t>
  </si>
  <si>
    <t xml:space="preserve">7. OTHER OPERATING EXPENSES</t>
  </si>
  <si>
    <t xml:space="preserve">R&amp;D non-payroll</t>
  </si>
  <si>
    <t xml:space="preserve">Prototyping components, dev tools, CAD/sim licences</t>
  </si>
  <si>
    <t xml:space="preserve">Marketing (derived)</t>
  </si>
  <si>
    <t xml:space="preserve"> = institutional channel marketing + DTC channel marketing (rows 30 + 31)</t>
  </si>
  <si>
    <t xml:space="preserve">Travel &amp; subsistence</t>
  </si>
  <si>
    <t xml:space="preserve">Professional fees</t>
  </si>
  <si>
    <t xml:space="preserve">Legal, accounting, IP, audit</t>
  </si>
  <si>
    <t xml:space="preserve">IT and software, cloud infrastructure</t>
  </si>
  <si>
    <t xml:space="preserve">SaaS licences, dev infrastructure, cloud hosting (scales with installed base)</t>
  </si>
  <si>
    <t xml:space="preserve">Total other opex</t>
  </si>
  <si>
    <t xml:space="preserve">8. FACILITIES</t>
  </si>
  <si>
    <t xml:space="preserve">Facilities annual cost</t>
  </si>
  <si>
    <t xml:space="preserve">ch.9 §9.5: free incubator → coworking → office</t>
  </si>
  <si>
    <t xml:space="preserve">9. INSURANCE</t>
  </si>
  <si>
    <t xml:space="preserve">Insurance annual cost</t>
  </si>
  <si>
    <t xml:space="preserve">ch.9 tab:ent-ops-insurance — phased programme</t>
  </si>
  <si>
    <t xml:space="preserve">10. REGULATORY &amp; CLINICAL   [PROVISIONAL → ch.7]</t>
  </si>
  <si>
    <t xml:space="preserve">One-off regulatory &amp; clinical (UKCA route)</t>
  </si>
  <si>
    <t xml:space="preserve">QMS + biocompat + EMC + NB fees + clinical investigation</t>
  </si>
  <si>
    <t xml:space="preserve">Ongoing post-market &amp; NB surveillance</t>
  </si>
  <si>
    <t xml:space="preserve">PMS, periodic safety updates, NB annual surveillance</t>
  </si>
  <si>
    <t xml:space="preserve">Total regulatory &amp; clinical</t>
  </si>
  <si>
    <t xml:space="preserve">11. CAPEX &amp; DEPRECIATION</t>
  </si>
  <si>
    <t xml:space="preserve">Capex item</t>
  </si>
  <si>
    <t xml:space="preserve">Amount £</t>
  </si>
  <si>
    <t xml:space="preserve">Period</t>
  </si>
  <si>
    <t xml:space="preserve">Life (yrs)</t>
  </si>
  <si>
    <t xml:space="preserve">Bench equipment, ESD, basic instruments</t>
  </si>
  <si>
    <t xml:space="preserve">Desktop 3D printer + accessories</t>
  </si>
  <si>
    <t xml:space="preserve">Optical alignment fixtures (in-house)</t>
  </si>
  <si>
    <t xml:space="preserve">Test fixtures (formal, jig-assisted)</t>
  </si>
  <si>
    <t xml:space="preserve">Office fit-out (lab area, desks, security)</t>
  </si>
  <si>
    <t xml:space="preserve">Aluminium injection moulding tool</t>
  </si>
  <si>
    <t xml:space="preserve">Calibration jigs for contract manufacturer</t>
  </si>
  <si>
    <t xml:space="preserve">End-of-line test rig upgrade</t>
  </si>
  <si>
    <t xml:space="preserve">Steel injection moulding tool</t>
  </si>
  <si>
    <t xml:space="preserve">Capex per year</t>
  </si>
  <si>
    <t xml:space="preserve">Cumulative capex</t>
  </si>
  <si>
    <t xml:space="preserve">Depreciation per year</t>
  </si>
  <si>
    <t xml:space="preserve">Straight-line over each item's life, from period of acquisition</t>
  </si>
  <si>
    <t xml:space="preserve">Accumulated depreciation</t>
  </si>
  <si>
    <t xml:space="preserve">Net PP&amp;E</t>
  </si>
  <si>
    <t xml:space="preserve"> = cumulative capex − accumulated depreciation</t>
  </si>
  <si>
    <t xml:space="preserve">12. WORKING CAPITAL ASSUMPTIONS</t>
  </si>
  <si>
    <t xml:space="preserve">Inventory days  (DIO, on COGS)</t>
  </si>
  <si>
    <t xml:space="preserve">days</t>
  </si>
  <si>
    <t xml:space="preserve">Receivable days  (DSO, on revenue)</t>
  </si>
  <si>
    <t xml:space="preserve">Payable days  (DPO, on COGS + opex ex-payroll)</t>
  </si>
  <si>
    <t xml:space="preserve">Warranty provision % of hardware revenue</t>
  </si>
  <si>
    <t xml:space="preserve">ch.9 §9.5: 2–5% range</t>
  </si>
  <si>
    <t xml:space="preserve">13. TAX</t>
  </si>
  <si>
    <t xml:space="preserve">UK Corporation Tax rate</t>
  </si>
  <si>
    <t xml:space="preserve">25% main rate from April 2023</t>
  </si>
  <si>
    <t xml:space="preserve">R&amp;D tax credit   (1 = on, 0 = off)</t>
  </si>
  <si>
    <t xml:space="preserve">R&amp;D credit effective rate</t>
  </si>
  <si>
    <t xml:space="preserve">% of qualifying R&amp;D</t>
  </si>
  <si>
    <t xml:space="preserve">UK SME scheme post April 2024 (~18.6% effective benefit)</t>
  </si>
  <si>
    <t xml:space="preserve">Qualifying R&amp;D — % of engineering payroll</t>
  </si>
  <si>
    <t xml:space="preserve">Qualifying R&amp;D — % of regulatory payroll</t>
  </si>
  <si>
    <t xml:space="preserve">Qualifying R&amp;D — % of clinical payroll</t>
  </si>
  <si>
    <t xml:space="preserve">Qualifying R&amp;D — % of clinical investigation costs</t>
  </si>
  <si>
    <t xml:space="preserve">Qualifying R&amp;D — % of R&amp;D non-payroll spend</t>
  </si>
  <si>
    <t xml:space="preserve">Interest on cash balance</t>
  </si>
  <si>
    <t xml:space="preserve">% p.a.</t>
  </si>
  <si>
    <t xml:space="preserve">Business savings rate; applied to opening cash in P&amp;L</t>
  </si>
  <si>
    <t xml:space="preserve">14. EQUITY INJECTIONS   [PLUG]</t>
  </si>
  <si>
    <t xml:space="preserve">Equity injections</t>
  </si>
  <si>
    <t xml:space="preserve">Pre-seed Y1 / Seed Y3 / Seed-2 Y5 per ch.12 §12.2 (total £4.2M, 12% buffer over £3.75M trough)</t>
  </si>
  <si>
    <t xml:space="preserve">Minimum cash buffer</t>
  </si>
  <si>
    <t xml:space="preserve">Unit Economics — Per-customer profitability</t>
  </si>
  <si>
    <t xml:space="preserve">All values driven from the Assumptions tab. Y6–Y7 are the steady-state reference (P3 mature, post-breakeven).</t>
  </si>
  <si>
    <t xml:space="preserve">1. HARDWARE ECONOMICS  (per unit)</t>
  </si>
  <si>
    <t xml:space="preserve">Effective unit cost</t>
  </si>
  <si>
    <t xml:space="preserve">Hardware contribution per unit</t>
  </si>
  <si>
    <t xml:space="preserve">Hardware gross margin %</t>
  </si>
  <si>
    <t xml:space="preserve">2. SUBSCRIPTION ECONOMICS  (per active customer per year)</t>
  </si>
  <si>
    <t xml:space="preserve">Blended ARPU</t>
  </si>
  <si>
    <t xml:space="preserve">Subscription COGS rate</t>
  </si>
  <si>
    <t xml:space="preserve">Subscription contribution</t>
  </si>
  <si>
    <t xml:space="preserve">Subscription gross margin %</t>
  </si>
  <si>
    <t xml:space="preserve">3. ACCESSORIES &amp; CONSUMABLES  (per active customer per year)</t>
  </si>
  <si>
    <t xml:space="preserve">Accessories enabled  (1 = on, 0 = off)</t>
  </si>
  <si>
    <t xml:space="preserve">Accessories revenue per active sub</t>
  </si>
  <si>
    <t xml:space="preserve">Accessories contribution per active sub</t>
  </si>
  <si>
    <t xml:space="preserve">4. EXTENDED WARRANTY  (one-off, per new customer at sale)</t>
  </si>
  <si>
    <t xml:space="preserve">Warranty enabled  (1 = on, 0 = off)</t>
  </si>
  <si>
    <t xml:space="preserve">Attach % at sale</t>
  </si>
  <si>
    <t xml:space="preserve">Warranty £ per attached unit</t>
  </si>
  <si>
    <t xml:space="preserve">Warranty gross margin %</t>
  </si>
  <si>
    <t xml:space="preserve">Warranty contribution per new unit</t>
  </si>
  <si>
    <t xml:space="preserve">5. TOTAL ANNUAL ECONOMICS  (per active customer)</t>
  </si>
  <si>
    <t xml:space="preserve">Total annual revenue per active customer</t>
  </si>
  <si>
    <t xml:space="preserve"> = ARPU + accessories revenue</t>
  </si>
  <si>
    <t xml:space="preserve">Total annual contribution per active customer</t>
  </si>
  <si>
    <t xml:space="preserve"> = sub contribution + accessories contribution</t>
  </si>
  <si>
    <t xml:space="preserve">6. CUSTOMER LIFETIME VALUE (LTV)</t>
  </si>
  <si>
    <t xml:space="preserve">Implied avg customer lifetime</t>
  </si>
  <si>
    <t xml:space="preserve">years</t>
  </si>
  <si>
    <t xml:space="preserve"> = 1 / churn (perpetuity equivalent)</t>
  </si>
  <si>
    <t xml:space="preserve">3-year LTV factor (sub side)</t>
  </si>
  <si>
    <t xml:space="preserve">multiplier</t>
  </si>
  <si>
    <t xml:space="preserve"> = 1 + (1−c) + (1−c)²</t>
  </si>
  <si>
    <t xml:space="preserve">3-year sub + accessories LTV</t>
  </si>
  <si>
    <t xml:space="preserve">£/customer</t>
  </si>
  <si>
    <t xml:space="preserve">3-year total LTV per customer</t>
  </si>
  <si>
    <t xml:space="preserve"> = HW contribution + warranty contribution + 3-yr sub+acc LTV</t>
  </si>
  <si>
    <t xml:space="preserve">Steady-state sub + accessories LTV</t>
  </si>
  <si>
    <t xml:space="preserve"> = annual contribution / churn (perpetuity)</t>
  </si>
  <si>
    <t xml:space="preserve">Steady-state total LTV per customer</t>
  </si>
  <si>
    <t xml:space="preserve">7. CUSTOMER ACQUISITION COST  (by channel)</t>
  </si>
  <si>
    <t xml:space="preserve">Sales commission (institutional only)</t>
  </si>
  <si>
    <t xml:space="preserve">Institutional acquisition spend</t>
  </si>
  <si>
    <t xml:space="preserve">Institutional buyers</t>
  </si>
  <si>
    <t xml:space="preserve">CAC per institutional customer</t>
  </si>
  <si>
    <t xml:space="preserve"> = institutional acquisition spend / institutional buyers</t>
  </si>
  <si>
    <t xml:space="preserve">DTC buyers</t>
  </si>
  <si>
    <t xml:space="preserve">CAC per DTC customer</t>
  </si>
  <si>
    <t xml:space="preserve"> = DTC marketing / DTC buyers (no commission on DTC)</t>
  </si>
  <si>
    <t xml:space="preserve">8. LTV PER CUSTOMER &amp; LTV : CAC  (by channel)</t>
  </si>
  <si>
    <t xml:space="preserve">3-year LTV per institutional customer</t>
  </si>
  <si>
    <t xml:space="preserve"> = 3 headsets × (HW contribution + 3-yr sub LTV per headset)</t>
  </si>
  <si>
    <t xml:space="preserve">LTV per DTC customer (one-off)</t>
  </si>
  <si>
    <t xml:space="preserve"> = hardware contribution per headset (no subscription)</t>
  </si>
  <si>
    <t xml:space="preserve">LTV : CAC ratio  (institutional, 3-year)</t>
  </si>
  <si>
    <t xml:space="preserve">ratio</t>
  </si>
  <si>
    <t xml:space="preserve">Industry benchmark &gt; 3.0x</t>
  </si>
  <si>
    <t xml:space="preserve">LTV : CAC ratio  (DTC)</t>
  </si>
  <si>
    <t xml:space="preserve">DTC must clear 1.0x to be self-funding at acquisition</t>
  </si>
  <si>
    <t xml:space="preserve">Payback period (institutional)</t>
  </si>
  <si>
    <t xml:space="preserve">months</t>
  </si>
  <si>
    <t xml:space="preserve"> = CAC × 12 / annual contribution per institutional customer (3 headsets)</t>
  </si>
  <si>
    <t xml:space="preserve">9. STEADY-STATE SUMMARY  (Y7 reference)</t>
  </si>
  <si>
    <t xml:space="preserve">Hardware contribution per headset</t>
  </si>
  <si>
    <t xml:space="preserve">Subscription contribution per headset/yr</t>
  </si>
  <si>
    <t xml:space="preserve">LTV per DTC customer (hardware only)</t>
  </si>
  <si>
    <t xml:space="preserve">LTV : CAC  (institutional, 3-year)</t>
  </si>
  <si>
    <t xml:space="preserve">LTV : CAC  (DTC)</t>
  </si>
  <si>
    <t xml:space="preserve">Payback period (institutional, months)</t>
  </si>
  <si>
    <t xml:space="preserve">Profit &amp; Loss — 7-year projection</t>
  </si>
  <si>
    <t xml:space="preserve">Driven from the Assumptions tab. Read the EBITDA line for the headline shape; read R&amp;D credit + corp tax for the cash impact of loss-making years.</t>
  </si>
  <si>
    <t xml:space="preserve">1. REVENUE</t>
  </si>
  <si>
    <t xml:space="preserve">Hardware revenue</t>
  </si>
  <si>
    <t xml:space="preserve">delay-shifted new units × adoption × ASP × ASP scenario × (1 − returns allowance)</t>
  </si>
  <si>
    <t xml:space="preserve">Subscription revenue</t>
  </si>
  <si>
    <t xml:space="preserve">average subscribers × blended ARPU</t>
  </si>
  <si>
    <t xml:space="preserve">Research licence revenue</t>
  </si>
  <si>
    <t xml:space="preserve">toggle × sites × £/site</t>
  </si>
  <si>
    <t xml:space="preserve">Accessories &amp; consumables revenue</t>
  </si>
  <si>
    <t xml:space="preserve">toggle × avg subs × £/sub/yr</t>
  </si>
  <si>
    <t xml:space="preserve">Extended warranty revenue</t>
  </si>
  <si>
    <t xml:space="preserve">toggle × delay-shifted new units × adoption × attach × £/unit</t>
  </si>
  <si>
    <t xml:space="preserve">TOTAL REVENUE</t>
  </si>
  <si>
    <t xml:space="preserve">2. COST OF GOODS SOLD</t>
  </si>
  <si>
    <t xml:space="preserve">Hardware COGS</t>
  </si>
  <si>
    <t xml:space="preserve">delay-shifted new units × adoption × effective unit cost (BOM applied in row 49)</t>
  </si>
  <si>
    <t xml:space="preserve">Subscription COGS</t>
  </si>
  <si>
    <t xml:space="preserve">hosting / support tooling — sub rev × COGS rate</t>
  </si>
  <si>
    <t xml:space="preserve">Accessories COGS</t>
  </si>
  <si>
    <t xml:space="preserve">Extended warranty COGS</t>
  </si>
  <si>
    <t xml:space="preserve">TOTAL COGS</t>
  </si>
  <si>
    <t xml:space="preserve">GROSS PROFIT</t>
  </si>
  <si>
    <t xml:space="preserve">Gross margin %</t>
  </si>
  <si>
    <t xml:space="preserve">3. OPERATING EXPENSES — R&amp;D</t>
  </si>
  <si>
    <t xml:space="preserve">Engineering payroll (allocated)</t>
  </si>
  <si>
    <t xml:space="preserve">(Eng base ÷ total base) × loaded payroll</t>
  </si>
  <si>
    <t xml:space="preserve">TOTAL R&amp;D</t>
  </si>
  <si>
    <t xml:space="preserve">4. OPERATING EXPENSES — REGULATORY &amp; CLINICAL</t>
  </si>
  <si>
    <t xml:space="preserve">Regulatory &amp; quality payroll (allocated)</t>
  </si>
  <si>
    <t xml:space="preserve">Clinical research payroll (allocated)</t>
  </si>
  <si>
    <t xml:space="preserve">One-off regulatory &amp; clinical</t>
  </si>
  <si>
    <t xml:space="preserve">QMS, NB fees, biocompat, EMC, clinical investigation × reg scenario</t>
  </si>
  <si>
    <t xml:space="preserve">Ongoing PMS &amp; NB surveillance</t>
  </si>
  <si>
    <t xml:space="preserve">Post-market obligations × reg scenario</t>
  </si>
  <si>
    <t xml:space="preserve">TOTAL REGULATORY &amp; CLINICAL</t>
  </si>
  <si>
    <t xml:space="preserve">5. OPERATING EXPENSES — SALES &amp; MARKETING</t>
  </si>
  <si>
    <t xml:space="preserve">Sales / BD payroll (allocated)</t>
  </si>
  <si>
    <t xml:space="preserve">Customer support payroll (allocated)</t>
  </si>
  <si>
    <t xml:space="preserve">Sales commission</t>
  </si>
  <si>
    <t xml:space="preserve">Marketing</t>
  </si>
  <si>
    <t xml:space="preserve">Marketing spend × marketing scenario</t>
  </si>
  <si>
    <t xml:space="preserve">TOTAL SALES &amp; MARKETING</t>
  </si>
  <si>
    <t xml:space="preserve">6. OPERATING EXPENSES — GENERAL &amp; ADMINISTRATIVE</t>
  </si>
  <si>
    <t xml:space="preserve">CEO / commercial payroll (allocated)</t>
  </si>
  <si>
    <t xml:space="preserve">Operations / supply chain payroll (allocated)</t>
  </si>
  <si>
    <t xml:space="preserve">Spare role payroll (allocated)</t>
  </si>
  <si>
    <t xml:space="preserve">IT and software</t>
  </si>
  <si>
    <t xml:space="preserve">Facilities</t>
  </si>
  <si>
    <t xml:space="preserve">Insurance</t>
  </si>
  <si>
    <t xml:space="preserve">TOTAL G&amp;A</t>
  </si>
  <si>
    <t xml:space="preserve">TOTAL OPERATING EXPENSES</t>
  </si>
  <si>
    <t xml:space="preserve">EBITDA</t>
  </si>
  <si>
    <t xml:space="preserve">EBITDA margin %</t>
  </si>
  <si>
    <t xml:space="preserve">Depreciation &amp; amortisation</t>
  </si>
  <si>
    <t xml:space="preserve">EBIT (Operating profit / loss)</t>
  </si>
  <si>
    <t xml:space="preserve"> + Interest income on opening cash</t>
  </si>
  <si>
    <t xml:space="preserve">Cash flow opening cash × Assumptions!$B$124</t>
  </si>
  <si>
    <t xml:space="preserve">7. TAX  (with loss carry-forward and R&amp;D credit)</t>
  </si>
  <si>
    <t xml:space="preserve">Cumulative losses brought forward</t>
  </si>
  <si>
    <t xml:space="preserve">Carries unused trading losses indefinitely</t>
  </si>
  <si>
    <t xml:space="preserve">Losses utilised this year</t>
  </si>
  <si>
    <t xml:space="preserve">MIN(losses BF, max(0, EBIT + interest))</t>
  </si>
  <si>
    <t xml:space="preserve">Taxable profit</t>
  </si>
  <si>
    <t xml:space="preserve">MAX(0, EBIT + interest − losses utilised)</t>
  </si>
  <si>
    <t xml:space="preserve">Corporation tax</t>
  </si>
  <si>
    <t xml:space="preserve">taxable profit × 25%</t>
  </si>
  <si>
    <t xml:space="preserve">Qualifying R&amp;D spend</t>
  </si>
  <si>
    <t xml:space="preserve">Eng×60% + Reg×40% + Clin×30% + R&amp;D npp×100% + clin inv×50%</t>
  </si>
  <si>
    <t xml:space="preserve">R&amp;D tax credit</t>
  </si>
  <si>
    <t xml:space="preserve">−qualifying × effective rate × on/off; cash-back when loss-making</t>
  </si>
  <si>
    <t xml:space="preserve">Net tax expense / (credit)</t>
  </si>
  <si>
    <t xml:space="preserve">Cumulative losses carried forward</t>
  </si>
  <si>
    <t xml:space="preserve">prior CF + this year's loss − losses utilised</t>
  </si>
  <si>
    <t xml:space="preserve">NET INCOME</t>
  </si>
  <si>
    <t xml:space="preserve">Net margin %</t>
  </si>
  <si>
    <t xml:space="preserve">Cash Flow — 7-year projection (indirect method)</t>
  </si>
  <si>
    <t xml:space="preserve">Builds operating cash from EBIT, layers in working capital and capex, then adds equity injections to derive closing cash. The minimum closing-cash point is the binding funding requirement.</t>
  </si>
  <si>
    <t xml:space="preserve">1. OPERATING CASH FLOW</t>
  </si>
  <si>
    <t xml:space="preserve">EBIT (operating profit / loss)</t>
  </si>
  <si>
    <t xml:space="preserve"> + Depreciation &amp; amortisation (non-cash)</t>
  </si>
  <si>
    <t xml:space="preserve"> = EBITDA equivalent</t>
  </si>
  <si>
    <t xml:space="preserve">− Tax paid / + R&amp;D credit received</t>
  </si>
  <si>
    <t xml:space="preserve">Assumes credit received in year incurred (1-yr lag in reality)</t>
  </si>
  <si>
    <t xml:space="preserve"> = Operating cash before working capital</t>
  </si>
  <si>
    <t xml:space="preserve">2. WORKING CAPITAL CHANGES   (positive = cash inflow)</t>
  </si>
  <si>
    <t xml:space="preserve">Inventory (end of year)</t>
  </si>
  <si>
    <t xml:space="preserve">DIO × COGS / 365</t>
  </si>
  <si>
    <t xml:space="preserve">(Increase) / decrease in inventory</t>
  </si>
  <si>
    <t xml:space="preserve">Receivables (end of year)</t>
  </si>
  <si>
    <t xml:space="preserve">DSO × revenue / 365</t>
  </si>
  <si>
    <t xml:space="preserve">(Increase) / decrease in receivables</t>
  </si>
  <si>
    <t xml:space="preserve">Payables (end of year)</t>
  </si>
  <si>
    <t xml:space="preserve">DPO × (COGS + non-payroll opex) / 365</t>
  </si>
  <si>
    <t xml:space="preserve">Increase / (decrease) in payables</t>
  </si>
  <si>
    <t xml:space="preserve">Deferred revenue (end of year)</t>
  </si>
  <si>
    <t xml:space="preserve">≈ subscription revenue × 0.5 (annual prepay convention)</t>
  </si>
  <si>
    <t xml:space="preserve">Increase / (decrease) in deferred revenue</t>
  </si>
  <si>
    <t xml:space="preserve">Total working capital change</t>
  </si>
  <si>
    <t xml:space="preserve">Mirrors P&amp;L line; cash-effective in same year</t>
  </si>
  <si>
    <t xml:space="preserve">NET CASH FROM OPERATIONS</t>
  </si>
  <si>
    <t xml:space="preserve">3. INVESTING CASH FLOW</t>
  </si>
  <si>
    <t xml:space="preserve">Capex (cash outflow)</t>
  </si>
  <si>
    <t xml:space="preserve">Linked from Assumptions capex schedule</t>
  </si>
  <si>
    <t xml:space="preserve">NET CASH FROM INVESTING</t>
  </si>
  <si>
    <t xml:space="preserve">4. FINANCING CASH FLOW</t>
  </si>
  <si>
    <t xml:space="preserve">Mechanical plug — sized to keep closing cash ≥ buffer</t>
  </si>
  <si>
    <t xml:space="preserve">NET CASH FROM FINANCING</t>
  </si>
  <si>
    <t xml:space="preserve">5. CASH POSITION</t>
  </si>
  <si>
    <t xml:space="preserve">Net change in cash</t>
  </si>
  <si>
    <t xml:space="preserve">Opening cash</t>
  </si>
  <si>
    <t xml:space="preserve">Closing cash</t>
  </si>
  <si>
    <t xml:space="preserve">Minimum cash buffer (target floor)</t>
  </si>
  <si>
    <t xml:space="preserve">Buffer breached?  (1 = closing cash below buffer)</t>
  </si>
  <si>
    <t xml:space="preserve">flag</t>
  </si>
  <si>
    <t xml:space="preserve">Cumulative ops + investing  (excludes financing)</t>
  </si>
  <si>
    <t xml:space="preserve">Running unfunded cash position; lowest point sets the funding floor</t>
  </si>
  <si>
    <t xml:space="preserve">6. CASH FLOW SUMMARY</t>
  </si>
  <si>
    <t xml:space="preserve">Minimum closing-cash point over horizon</t>
  </si>
  <si>
    <t xml:space="preserve">With the equity plug — must stay above the buffer</t>
  </si>
  <si>
    <t xml:space="preserve">Year of minimum closing cash</t>
  </si>
  <si>
    <t xml:space="preserve">Peak unfunded cash trough</t>
  </si>
  <si>
    <t xml:space="preserve">Most-negative cumulative ops+investing — the gross funding need</t>
  </si>
  <si>
    <t xml:space="preserve">Year of peak unfunded trough</t>
  </si>
  <si>
    <t xml:space="preserve">Total equity raised through horizon</t>
  </si>
  <si>
    <t xml:space="preserve">Cumulative net cash from operations through Y7</t>
  </si>
  <si>
    <t xml:space="preserve">Total capex through horizon</t>
  </si>
  <si>
    <t xml:space="preserve">First year of positive operating cash flow</t>
  </si>
  <si>
    <t xml:space="preserve">First year of self-funded positive cash  (ops + investing)</t>
  </si>
  <si>
    <t xml:space="preserve">Balance Sheet — 7-year projection (year-end)</t>
  </si>
  <si>
    <t xml:space="preserve">Aggregates working-capital and PP&amp;E balances from the Cash flow / Assumptions tabs, plus cumulative share capital and retained earnings. Balance check row must be £0 every year.</t>
  </si>
  <si>
    <t xml:space="preserve">1. ASSETS</t>
  </si>
  <si>
    <t xml:space="preserve">Cash and cash equivalents</t>
  </si>
  <si>
    <t xml:space="preserve">Accounts receivable</t>
  </si>
  <si>
    <t xml:space="preserve">Inventory</t>
  </si>
  <si>
    <t xml:space="preserve">Total current assets</t>
  </si>
  <si>
    <t xml:space="preserve">PP&amp;E (gross — cumulative capex)</t>
  </si>
  <si>
    <t xml:space="preserve">Less: accumulated depreciation</t>
  </si>
  <si>
    <t xml:space="preserve">TOTAL ASSETS</t>
  </si>
  <si>
    <t xml:space="preserve">2. LIABILITIES</t>
  </si>
  <si>
    <t xml:space="preserve">Accounts payable</t>
  </si>
  <si>
    <t xml:space="preserve">Deferred revenue (annual prepay)</t>
  </si>
  <si>
    <t xml:space="preserve">Total current liabilities</t>
  </si>
  <si>
    <t xml:space="preserve">TOTAL LIABILITIES</t>
  </si>
  <si>
    <t xml:space="preserve">3. EQUITY</t>
  </si>
  <si>
    <t xml:space="preserve">Share capital (cumulative equity raised)</t>
  </si>
  <si>
    <t xml:space="preserve">Running sum of equity injections</t>
  </si>
  <si>
    <t xml:space="preserve">Retained earnings (cumulative NI)</t>
  </si>
  <si>
    <t xml:space="preserve">Running sum of P&amp;L net income</t>
  </si>
  <si>
    <t xml:space="preserve">TOTAL EQUITY</t>
  </si>
  <si>
    <t xml:space="preserve">4. BALANCE CHECK</t>
  </si>
  <si>
    <t xml:space="preserve">Total liabilities + equity</t>
  </si>
  <si>
    <t xml:space="preserve">Difference  (assets − L − E; should be 0)</t>
  </si>
  <si>
    <t xml:space="preserve">BS balanced?  (1 = yes within £1 tolerance)</t>
  </si>
  <si>
    <t xml:space="preserve">Scenarios &amp; Sensitivity</t>
  </si>
  <si>
    <t xml:space="preserve">Change the scenario selector in cell B5 to flex the entire model. Active multipliers in section 3 are referenced by formulas in Assumptions and P&amp;L. The tornado in section 5 is a linear approximation — for exact figures, toggle the selector and read the live model.</t>
  </si>
  <si>
    <t xml:space="preserve">1. SCENARIO SELECTOR</t>
  </si>
  <si>
    <t xml:space="preserve">Active scenario  (1=Base, 2=Downside, 3=Upside, 4=RegDelay, 5=Best, 6=Worst)</t>
  </si>
  <si>
    <t xml:space="preserve">Active scenario name</t>
  </si>
  <si>
    <t xml:space="preserve">2. SCENARIO DEFINITION TABLE  (multipliers vs base + reg delay years)</t>
  </si>
  <si>
    <t xml:space="preserve">Driver</t>
  </si>
  <si>
    <t xml:space="preserve">Base</t>
  </si>
  <si>
    <t xml:space="preserve">Downside</t>
  </si>
  <si>
    <t xml:space="preserve">Upside</t>
  </si>
  <si>
    <t xml:space="preserve">Reg Delay</t>
  </si>
  <si>
    <t xml:space="preserve">Best</t>
  </si>
  <si>
    <t xml:space="preserve">Worst</t>
  </si>
  <si>
    <t xml:space="preserve">Interpretation</t>
  </si>
  <si>
    <t xml:space="preserve">Adoption ramp multiplier</t>
  </si>
  <si>
    <t xml:space="preserve">ch.13 Best/Worst: ±20% adoption around base</t>
  </si>
  <si>
    <t xml:space="preserve">BOM unit cost multiplier</t>
  </si>
  <si>
    <t xml:space="preserve">ch.13 Worst: cost-down slips, +20-30% (use 25%); Best: -10%</t>
  </si>
  <si>
    <t xml:space="preserve">Subscription churn multiplier</t>
  </si>
  <si>
    <t xml:space="preserve">ch.13: Best 8% (×0.8), Worst 15% (×1.5) from 10% base</t>
  </si>
  <si>
    <t xml:space="preserve">Headcount / payroll multiplier</t>
  </si>
  <si>
    <t xml:space="preserve">ch.13 Worst: burn +10% via payroll lever (dominant cost)</t>
  </si>
  <si>
    <t xml:space="preserve">Marketing spend multiplier</t>
  </si>
  <si>
    <t xml:space="preserve">ch.13 Best/Worst hold marketing flat; effect routed via payroll</t>
  </si>
  <si>
    <t xml:space="preserve">Regulatory &amp; clinical multiplier</t>
  </si>
  <si>
    <t xml:space="preserve">Worst: extra NB / clinical cost from delay (+20%)</t>
  </si>
  <si>
    <t xml:space="preserve">Regulatory delay  (years shifted)</t>
  </si>
  <si>
    <t xml:space="preserve">ch.13 Worst: 12-month MDR slip</t>
  </si>
  <si>
    <t xml:space="preserve">Hardware ASP multiplier</t>
  </si>
  <si>
    <t xml:space="preserve">ch.13: Best +10%, Worst -12.5% (mid of -10/-15%)</t>
  </si>
  <si>
    <t xml:space="preserve">Subscription ARPU multiplier</t>
  </si>
  <si>
    <t xml:space="preserve">3. ACTIVE MULTIPLIERS  (live values used by Assumptions and P&amp;L)</t>
  </si>
  <si>
    <t xml:space="preserve">Adoption multiplier (active)</t>
  </si>
  <si>
    <t xml:space="preserve">BOM unit cost multiplier (active)</t>
  </si>
  <si>
    <t xml:space="preserve">Subscription churn multiplier (active)</t>
  </si>
  <si>
    <t xml:space="preserve">Headcount / payroll multiplier (active)</t>
  </si>
  <si>
    <t xml:space="preserve">Marketing spend multiplier (active)</t>
  </si>
  <si>
    <t xml:space="preserve">Regulatory &amp; clinical multiplier (active)</t>
  </si>
  <si>
    <t xml:space="preserve">Regulatory delay  (years, active)</t>
  </si>
  <si>
    <t xml:space="preserve">Hardware ASP multiplier (active)</t>
  </si>
  <si>
    <t xml:space="preserve">Subscription ARPU multiplier (active)</t>
  </si>
  <si>
    <t xml:space="preserve">4. ACTIVE SCENARIO HEADLINE OUTPUTS  (live, recomputes when selector changes)</t>
  </si>
  <si>
    <t xml:space="preserve">Y7 total revenue</t>
  </si>
  <si>
    <t xml:space="preserve">Y7 gross profit</t>
  </si>
  <si>
    <t xml:space="preserve">Y7 EBITDA</t>
  </si>
  <si>
    <t xml:space="preserve">Y7 net income</t>
  </si>
  <si>
    <t xml:space="preserve">Y7 closing cash</t>
  </si>
  <si>
    <t xml:space="preserve">Total equity raised through Y7</t>
  </si>
  <si>
    <t xml:space="preserve">5. APPROXIMATE TORNADO SENSITIVITY  (Y7 EBITDA delta vs base, linear approx)</t>
  </si>
  <si>
    <t xml:space="preserve">Down delta</t>
  </si>
  <si>
    <t xml:space="preserve">Up delta</t>
  </si>
  <si>
    <t xml:space="preserve">Magnitude</t>
  </si>
  <si>
    <t xml:space="preserve">Approximation basis</t>
  </si>
  <si>
    <t xml:space="preserve">Adoption ramp ±20%</t>
  </si>
  <si>
    <t xml:space="preserve">±20% × Y7 gross profit (revenue scales linearly with adoption)</t>
  </si>
  <si>
    <t xml:space="preserve">Blended ARPU ±15%</t>
  </si>
  <si>
    <t xml:space="preserve">±15% × Y7 sub revenue × (1 - sub COGS rate); subscription pricing lever</t>
  </si>
  <si>
    <t xml:space="preserve">BOM unit cost +30%/-15%</t>
  </si>
  <si>
    <t xml:space="preserve">BOM change × Y7 hardware COGS (asymmetric — costs rarely fall fast)</t>
  </si>
  <si>
    <t xml:space="preserve">Subscription churn 10%→15%</t>
  </si>
  <si>
    <t xml:space="preserve">≈ 33% sub rev reduction: steady-state active subs scale as 1/churn, so 10%→15% gives 1/1.5 = 67% of base</t>
  </si>
  <si>
    <t xml:space="preserve">Hardware ASP ±15%</t>
  </si>
  <si>
    <t xml:space="preserve">±15% × Y7 hardware revenue (price flows directly to contribution)</t>
  </si>
  <si>
    <t xml:space="preserve">Headcount/payroll ±10%</t>
  </si>
  <si>
    <t xml:space="preserve">±10% × Y7 total people cost</t>
  </si>
  <si>
    <t xml:space="preserve">Read this:</t>
  </si>
  <si>
    <t xml:space="preserve">The driver with the largest magnitude is the most binding sensitivity. Adoption and BOM are typically the top two for hardware-led medtech. These are linear approximations — for second-order effects (and for the reg delay structural shift), toggle the scenario selector above.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</si>
</sst>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@"/>
    <numFmt numFmtId="167" formatCode="#,##0;\(#,##0\);\-"/>
    <numFmt numFmtId="168" formatCode="0.0%;\(0.0%\);\-"/>
    <numFmt numFmtId="169" formatCode="\£#,##0;&quot;(£&quot;#,##0\);\-"/>
    <numFmt numFmtId="170" formatCode="0.0;\(0.0\);\-"/>
    <numFmt numFmtId="171" formatCode="0.00;\(0.00\);\-"/>
    <numFmt numFmtId="172" formatCode="0.0\x;\(0.0&quot;x)&quot;;\-"/>
    <numFmt numFmtId="173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1F4E78"/>
        <bgColor rgb="FF305496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9" min="3" style="0" width="12"/>
    <col collapsed="false" customWidth="true" hidden="false" outlineLevel="0" max="12" min="12" style="0" width="16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customFormat="false" ht="15" hidden="false" customHeight="false" outlineLevel="0" collapsed="false">
      <c r="A5" s="3" t="s">
        <v>10</v>
      </c>
      <c r="C5" s="5" t="n">
        <v>1</v>
      </c>
      <c r="D5" s="5" t="n">
        <v>2</v>
      </c>
      <c r="E5" s="5" t="n">
        <v>3</v>
      </c>
      <c r="F5" s="5" t="n">
        <v>4</v>
      </c>
      <c r="G5" s="5" t="n">
        <v>5</v>
      </c>
      <c r="H5" s="5" t="n">
        <v>6</v>
      </c>
      <c r="I5" s="5" t="n">
        <v>7</v>
      </c>
      <c r="L5" s="6" t="s">
        <v>11</v>
      </c>
    </row>
    <row r="6" customFormat="false" ht="15" hidden="false" customHeight="false" outlineLevel="0" collapsed="false">
      <c r="A6" s="3" t="s">
        <v>12</v>
      </c>
      <c r="C6" s="5" t="n">
        <v>2026</v>
      </c>
      <c r="D6" s="5" t="n">
        <v>2027</v>
      </c>
      <c r="E6" s="5" t="n">
        <v>2028</v>
      </c>
      <c r="F6" s="5" t="n">
        <v>2029</v>
      </c>
      <c r="G6" s="5" t="n">
        <v>2030</v>
      </c>
      <c r="H6" s="5" t="n">
        <v>2031</v>
      </c>
      <c r="I6" s="5" t="n">
        <v>2032</v>
      </c>
    </row>
    <row r="7" customFormat="false" ht="15" hidden="false" customHeight="false" outlineLevel="0" collapsed="false">
      <c r="A7" s="3" t="s">
        <v>13</v>
      </c>
      <c r="C7" s="5" t="n">
        <v>1</v>
      </c>
      <c r="D7" s="5" t="n">
        <v>1</v>
      </c>
      <c r="E7" s="5" t="n">
        <v>2</v>
      </c>
      <c r="F7" s="5" t="n">
        <v>2</v>
      </c>
      <c r="G7" s="5" t="n">
        <v>3</v>
      </c>
      <c r="H7" s="5" t="n">
        <v>3</v>
      </c>
      <c r="I7" s="5" t="n">
        <v>3</v>
      </c>
      <c r="L7" s="6" t="s">
        <v>11</v>
      </c>
      <c r="M7" s="6" t="s">
        <v>14</v>
      </c>
    </row>
    <row r="9" customFormat="false" ht="19.5" hidden="false" customHeight="true" outlineLevel="0" collapsed="false">
      <c r="A9" s="7" t="s">
        <v>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customFormat="false" ht="15" hidden="false" customHeight="false" outlineLevel="0" collapsed="false">
      <c r="A10" s="3" t="s">
        <v>16</v>
      </c>
      <c r="C10" s="8" t="str">
        <f aca="false">IF(C15=$B$26*C28+C29, "OK", "FAIL")</f>
        <v>OK</v>
      </c>
      <c r="D10" s="8" t="str">
        <f aca="false">IF(D15=$B$26*D28+D29, "OK", "FAIL")</f>
        <v>OK</v>
      </c>
      <c r="E10" s="8" t="str">
        <f aca="false">IF(E15=$B$26*E28+E29, "OK", "FAIL")</f>
        <v>OK</v>
      </c>
      <c r="F10" s="8" t="str">
        <f aca="false">IF(F15=$B$26*F28+F29, "OK", "FAIL")</f>
        <v>OK</v>
      </c>
      <c r="G10" s="8" t="str">
        <f aca="false">IF(G15=$B$26*G28+G29, "OK", "FAIL")</f>
        <v>OK</v>
      </c>
      <c r="H10" s="8" t="str">
        <f aca="false">IF(H15=$B$26*H28+H29, "OK", "FAIL")</f>
        <v>OK</v>
      </c>
      <c r="I10" s="8" t="str">
        <f aca="false">IF(I15=$B$26*I28+I29, "OK", "FAIL")</f>
        <v>OK</v>
      </c>
      <c r="M10" s="6" t="s">
        <v>17</v>
      </c>
    </row>
    <row r="11" customFormat="false" ht="15" hidden="false" customHeight="false" outlineLevel="0" collapsed="false">
      <c r="A11" s="3" t="s">
        <v>18</v>
      </c>
      <c r="B11" s="3" t="str">
        <f aca="false">IF(MIN('Cash flow'!C39:I39) &gt;= $B$127, "OK", "BREACH")</f>
        <v>OK</v>
      </c>
      <c r="M11" s="6" t="s">
        <v>19</v>
      </c>
    </row>
    <row r="12" customFormat="false" ht="15" hidden="false" customHeight="false" outlineLevel="0" collapsed="false">
      <c r="A12" s="3" t="s">
        <v>20</v>
      </c>
      <c r="B12" s="3" t="str">
        <f aca="false">IF(SUMPRODUCT(--(ABS('Balance sheet'!C34:K34)&lt;1))=9, "OK", "FAIL")</f>
        <v>OK</v>
      </c>
      <c r="M12" s="6" t="s">
        <v>21</v>
      </c>
    </row>
    <row r="14" customFormat="false" ht="19.5" hidden="false" customHeight="true" outlineLevel="0" collapsed="false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5" hidden="false" customHeight="false" outlineLevel="0" collapsed="false">
      <c r="A15" s="3" t="s">
        <v>23</v>
      </c>
      <c r="C15" s="9" t="n">
        <f aca="false">$B$26*C28 + C29</f>
        <v>0</v>
      </c>
      <c r="D15" s="9" t="n">
        <f aca="false">$B$26*D28 + D29</f>
        <v>0</v>
      </c>
      <c r="E15" s="9" t="n">
        <f aca="false">$B$26*E28 + E29</f>
        <v>90</v>
      </c>
      <c r="F15" s="9" t="n">
        <f aca="false">$B$26*F28 + F29</f>
        <v>270</v>
      </c>
      <c r="G15" s="9" t="n">
        <f aca="false">$B$26*G28 + G29</f>
        <v>1491</v>
      </c>
      <c r="H15" s="9" t="n">
        <f aca="false">$B$26*H28 + H29</f>
        <v>3154</v>
      </c>
      <c r="I15" s="9" t="n">
        <f aca="false">$B$26*I28 + I29</f>
        <v>7575</v>
      </c>
      <c r="L15" s="6" t="s">
        <v>24</v>
      </c>
      <c r="M15" s="6" t="s">
        <v>25</v>
      </c>
    </row>
    <row r="16" customFormat="false" ht="15" hidden="false" customHeight="false" outlineLevel="0" collapsed="false">
      <c r="A16" s="3" t="s">
        <v>26</v>
      </c>
      <c r="B16" s="10" t="n">
        <v>0.1</v>
      </c>
      <c r="L16" s="6" t="s">
        <v>27</v>
      </c>
      <c r="M16" s="6" t="s">
        <v>28</v>
      </c>
    </row>
    <row r="17" customFormat="false" ht="15" hidden="false" customHeight="false" outlineLevel="0" collapsed="false">
      <c r="A17" s="3" t="s">
        <v>29</v>
      </c>
      <c r="C17" s="9" t="n">
        <f aca="true">INDEX($C$28:$K$28, 1, MAX(C5 - Scenarios!$B$26, MIN(C5, 3))) * $B$26 * Scenarios!$B$20 * $B$33 + OFFSET(C17, 0, -1) * (1 - $B$16 * Scenarios!$B$22)</f>
        <v>0</v>
      </c>
      <c r="D17" s="9" t="n">
        <f aca="true">INDEX($C$28:$K$28, 1, MAX(D5 - Scenarios!$B$26, MIN(D5, 3))) * $B$26 * Scenarios!$B$20 * $B$33 + OFFSET(D17, 0, -1) * (1 - $B$16 * Scenarios!$B$22)</f>
        <v>0</v>
      </c>
      <c r="E17" s="9" t="n">
        <f aca="true">INDEX($C$28:$K$28, 1, MAX(E5 - Scenarios!$B$26, MIN(E5, 3))) * $B$26 * Scenarios!$B$20 * $B$33 + OFFSET(E17, 0, -1) * (1 - $B$16 * Scenarios!$B$22)</f>
        <v>90</v>
      </c>
      <c r="F17" s="9" t="n">
        <f aca="true">INDEX($C$28:$K$28, 1, MAX(F5 - Scenarios!$B$26, MIN(F5, 3))) * $B$26 * Scenarios!$B$20 * $B$33 + OFFSET(F17, 0, -1) * (1 - $B$16 * Scenarios!$B$22)</f>
        <v>351</v>
      </c>
      <c r="G17" s="9" t="n">
        <f aca="true">INDEX($C$28:$K$28, 1, MAX(G5 - Scenarios!$B$26, MIN(G5, 3))) * $B$26 * Scenarios!$B$20 * $B$33 + OFFSET(G17, 0, -1) * (1 - $B$16 * Scenarios!$B$22)</f>
        <v>765.9</v>
      </c>
      <c r="H17" s="9" t="n">
        <f aca="true">INDEX($C$28:$K$28, 1, MAX(H5 - Scenarios!$B$26, MIN(H5, 3))) * $B$26 * Scenarios!$B$20 * $B$33 + OFFSET(H17, 0, -1) * (1 - $B$16 * Scenarios!$B$22)</f>
        <v>1889.31</v>
      </c>
      <c r="I17" s="9" t="n">
        <f aca="true">INDEX($C$28:$K$28, 1, MAX(I5 - Scenarios!$B$26, MIN(I5, 3))) * $B$26 * Scenarios!$B$20 * $B$33 + OFFSET(I17, 0, -1) * (1 - $B$16 * Scenarios!$B$22)</f>
        <v>3950.379</v>
      </c>
      <c r="L17" s="6" t="s">
        <v>30</v>
      </c>
      <c r="M17" s="6" t="s">
        <v>31</v>
      </c>
    </row>
    <row r="18" customFormat="false" ht="15" hidden="false" customHeight="false" outlineLevel="0" collapsed="false">
      <c r="A18" s="3" t="s">
        <v>32</v>
      </c>
      <c r="C18" s="9" t="n">
        <f aca="true">(C17 + OFFSET(C17, 0, -1)) / 2</f>
        <v>0</v>
      </c>
      <c r="D18" s="9" t="n">
        <f aca="true">(D17 + OFFSET(D17, 0, -1)) / 2</f>
        <v>0</v>
      </c>
      <c r="E18" s="9" t="n">
        <f aca="true">(E17 + OFFSET(E17, 0, -1)) / 2</f>
        <v>45</v>
      </c>
      <c r="F18" s="9" t="n">
        <f aca="true">(F17 + OFFSET(F17, 0, -1)) / 2</f>
        <v>220.5</v>
      </c>
      <c r="G18" s="9" t="n">
        <f aca="true">(G17 + OFFSET(G17, 0, -1)) / 2</f>
        <v>558.45</v>
      </c>
      <c r="H18" s="9" t="n">
        <f aca="true">(H17 + OFFSET(H17, 0, -1)) / 2</f>
        <v>1327.605</v>
      </c>
      <c r="I18" s="9" t="n">
        <f aca="true">(I17 + OFFSET(I17, 0, -1)) / 2</f>
        <v>2919.8445</v>
      </c>
      <c r="L18" s="6" t="s">
        <v>30</v>
      </c>
      <c r="M18" s="6" t="s">
        <v>33</v>
      </c>
    </row>
    <row r="19" customFormat="false" ht="15" hidden="false" customHeight="false" outlineLevel="0" collapsed="false">
      <c r="A19" s="3" t="s">
        <v>34</v>
      </c>
      <c r="C19" s="9" t="n">
        <f aca="true">INDEX($C$15:$K$15, 1, MAX(C5 - Scenarios!$B$26, MIN(C5, 3))) * Scenarios!$B$20 + OFFSET(C19, 0, -1)</f>
        <v>0</v>
      </c>
      <c r="D19" s="9" t="n">
        <f aca="true">INDEX($C$15:$K$15, 1, MAX(D5 - Scenarios!$B$26, MIN(D5, 3))) * Scenarios!$B$20 + OFFSET(D19, 0, -1)</f>
        <v>0</v>
      </c>
      <c r="E19" s="9" t="n">
        <f aca="true">INDEX($C$15:$K$15, 1, MAX(E5 - Scenarios!$B$26, MIN(E5, 3))) * Scenarios!$B$20 + OFFSET(E19, 0, -1)</f>
        <v>90</v>
      </c>
      <c r="F19" s="9" t="n">
        <f aca="true">INDEX($C$15:$K$15, 1, MAX(F5 - Scenarios!$B$26, MIN(F5, 3))) * Scenarios!$B$20 + OFFSET(F19, 0, -1)</f>
        <v>360</v>
      </c>
      <c r="G19" s="9" t="n">
        <f aca="true">INDEX($C$15:$K$15, 1, MAX(G5 - Scenarios!$B$26, MIN(G5, 3))) * Scenarios!$B$20 + OFFSET(G19, 0, -1)</f>
        <v>1851</v>
      </c>
      <c r="H19" s="9" t="n">
        <f aca="true">INDEX($C$15:$K$15, 1, MAX(H5 - Scenarios!$B$26, MIN(H5, 3))) * Scenarios!$B$20 + OFFSET(H19, 0, -1)</f>
        <v>5005</v>
      </c>
      <c r="I19" s="9" t="n">
        <f aca="true">INDEX($C$15:$K$15, 1, MAX(I5 - Scenarios!$B$26, MIN(I5, 3))) * Scenarios!$B$20 + OFFSET(I19, 0, -1)</f>
        <v>12580</v>
      </c>
      <c r="L19" s="6" t="s">
        <v>24</v>
      </c>
    </row>
    <row r="21" customFormat="false" ht="19.5" hidden="false" customHeight="true" outlineLevel="0" collapsed="false">
      <c r="A21" s="7" t="s">
        <v>35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customFormat="false" ht="15" hidden="false" customHeight="false" outlineLevel="0" collapsed="false">
      <c r="A22" s="3" t="s">
        <v>36</v>
      </c>
      <c r="C22" s="11" t="n">
        <v>300</v>
      </c>
      <c r="D22" s="11" t="n">
        <v>300</v>
      </c>
      <c r="E22" s="11" t="n">
        <v>300</v>
      </c>
      <c r="F22" s="11" t="n">
        <v>300</v>
      </c>
      <c r="G22" s="11" t="n">
        <v>300</v>
      </c>
      <c r="H22" s="11" t="n">
        <v>300</v>
      </c>
      <c r="I22" s="11" t="n">
        <v>300</v>
      </c>
      <c r="L22" s="6" t="s">
        <v>37</v>
      </c>
      <c r="M22" s="6" t="s">
        <v>38</v>
      </c>
    </row>
    <row r="23" customFormat="false" ht="15" hidden="false" customHeight="false" outlineLevel="0" collapsed="false">
      <c r="A23" s="3" t="s">
        <v>39</v>
      </c>
      <c r="B23" s="10" t="n">
        <v>0.02</v>
      </c>
      <c r="L23" s="6" t="s">
        <v>40</v>
      </c>
      <c r="M23" s="6" t="s">
        <v>41</v>
      </c>
    </row>
    <row r="24" customFormat="false" ht="19.5" hidden="false" customHeight="true" outlineLevel="0" collapsed="false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6" customFormat="false" ht="15" hidden="false" customHeight="false" outlineLevel="0" collapsed="false">
      <c r="A26" s="3" t="s">
        <v>43</v>
      </c>
      <c r="B26" s="5" t="n">
        <v>3</v>
      </c>
      <c r="L26" s="6" t="s">
        <v>44</v>
      </c>
      <c r="M26" s="6" t="s">
        <v>45</v>
      </c>
    </row>
    <row r="27" customFormat="false" ht="15" hidden="false" customHeight="false" outlineLevel="0" collapsed="false">
      <c r="A27" s="3" t="s">
        <v>46</v>
      </c>
      <c r="B27" s="11" t="n">
        <v>600</v>
      </c>
      <c r="L27" s="6" t="s">
        <v>47</v>
      </c>
      <c r="M27" s="6" t="s">
        <v>48</v>
      </c>
    </row>
    <row r="28" customFormat="false" ht="15" hidden="false" customHeight="false" outlineLevel="0" collapsed="false">
      <c r="A28" s="3" t="s">
        <v>49</v>
      </c>
      <c r="C28" s="12" t="n">
        <v>0</v>
      </c>
      <c r="D28" s="12" t="n">
        <v>0</v>
      </c>
      <c r="E28" s="12" t="n">
        <v>30</v>
      </c>
      <c r="F28" s="12" t="n">
        <v>90</v>
      </c>
      <c r="G28" s="12" t="n">
        <v>150</v>
      </c>
      <c r="H28" s="12" t="n">
        <v>400</v>
      </c>
      <c r="I28" s="12" t="n">
        <v>750</v>
      </c>
      <c r="L28" s="6" t="s">
        <v>50</v>
      </c>
      <c r="M28" s="6" t="s">
        <v>51</v>
      </c>
    </row>
    <row r="29" customFormat="false" ht="15" hidden="false" customHeight="false" outlineLevel="0" collapsed="false">
      <c r="A29" s="3" t="s">
        <v>52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1041</v>
      </c>
      <c r="H29" s="12" t="n">
        <v>1954</v>
      </c>
      <c r="I29" s="12" t="n">
        <v>5325</v>
      </c>
      <c r="L29" s="6" t="s">
        <v>50</v>
      </c>
      <c r="M29" s="6" t="s">
        <v>53</v>
      </c>
    </row>
    <row r="30" customFormat="false" ht="15" hidden="false" customHeight="false" outlineLevel="0" collapsed="false">
      <c r="A30" s="3" t="s">
        <v>54</v>
      </c>
      <c r="C30" s="13" t="n">
        <v>5000</v>
      </c>
      <c r="D30" s="13" t="n">
        <v>10000</v>
      </c>
      <c r="E30" s="13" t="n">
        <v>25000</v>
      </c>
      <c r="F30" s="13" t="n">
        <v>50000</v>
      </c>
      <c r="G30" s="13" t="n">
        <v>50000</v>
      </c>
      <c r="H30" s="13" t="n">
        <v>75000</v>
      </c>
      <c r="I30" s="13" t="n">
        <v>100000</v>
      </c>
      <c r="L30" s="6" t="s">
        <v>55</v>
      </c>
      <c r="M30" s="6" t="s">
        <v>56</v>
      </c>
    </row>
    <row r="31" customFormat="false" ht="15" hidden="false" customHeight="false" outlineLevel="0" collapsed="false">
      <c r="A31" s="3" t="s">
        <v>57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100000</v>
      </c>
      <c r="H31" s="13" t="n">
        <v>225000</v>
      </c>
      <c r="I31" s="13" t="n">
        <v>400000</v>
      </c>
      <c r="L31" s="6" t="s">
        <v>55</v>
      </c>
      <c r="M31" s="6" t="s">
        <v>58</v>
      </c>
    </row>
    <row r="32" customFormat="false" ht="15" hidden="false" customHeight="false" outlineLevel="0" collapsed="false">
      <c r="A32" s="14" t="s">
        <v>59</v>
      </c>
      <c r="B32" s="15"/>
      <c r="C32" s="16" t="n">
        <f aca="false">$B$27 * Scenarios!$B$28</f>
        <v>600</v>
      </c>
      <c r="D32" s="16" t="n">
        <f aca="false">$B$27 * Scenarios!$B$28</f>
        <v>600</v>
      </c>
      <c r="E32" s="16" t="n">
        <f aca="false">$B$27 * Scenarios!$B$28</f>
        <v>600</v>
      </c>
      <c r="F32" s="16" t="n">
        <f aca="false">$B$27 * Scenarios!$B$28</f>
        <v>600</v>
      </c>
      <c r="G32" s="16" t="n">
        <f aca="false">$B$27 * Scenarios!$B$28</f>
        <v>600</v>
      </c>
      <c r="H32" s="16" t="n">
        <f aca="false">$B$27 * Scenarios!$B$28</f>
        <v>600</v>
      </c>
      <c r="I32" s="16" t="n">
        <f aca="false">$B$27 * Scenarios!$B$28</f>
        <v>600</v>
      </c>
      <c r="J32" s="15"/>
      <c r="K32" s="15"/>
      <c r="L32" s="17" t="s">
        <v>60</v>
      </c>
      <c r="M32" s="17" t="s">
        <v>61</v>
      </c>
    </row>
    <row r="33" customFormat="false" ht="15" hidden="false" customHeight="false" outlineLevel="0" collapsed="false">
      <c r="A33" s="3" t="s">
        <v>62</v>
      </c>
      <c r="B33" s="10" t="n">
        <v>1</v>
      </c>
      <c r="L33" s="6" t="s">
        <v>63</v>
      </c>
      <c r="M33" s="6" t="s">
        <v>64</v>
      </c>
    </row>
    <row r="34" customFormat="false" ht="19.5" hidden="false" customHeight="true" outlineLevel="0" collapsed="false">
      <c r="A34" s="7" t="s">
        <v>65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customFormat="false" ht="15" hidden="false" customHeight="false" outlineLevel="0" collapsed="false">
      <c r="A35" s="3" t="s">
        <v>66</v>
      </c>
      <c r="B35" s="5" t="n">
        <v>0</v>
      </c>
    </row>
    <row r="36" customFormat="false" ht="15" hidden="false" customHeight="false" outlineLevel="0" collapsed="false">
      <c r="A36" s="3" t="s">
        <v>67</v>
      </c>
      <c r="C36" s="18" t="n">
        <v>2</v>
      </c>
      <c r="D36" s="18" t="n">
        <v>5</v>
      </c>
      <c r="E36" s="18" t="n">
        <v>8</v>
      </c>
      <c r="F36" s="18" t="n">
        <v>10</v>
      </c>
      <c r="G36" s="18" t="n">
        <v>12</v>
      </c>
      <c r="H36" s="18" t="n">
        <v>14</v>
      </c>
      <c r="I36" s="18" t="n">
        <v>15</v>
      </c>
      <c r="L36" s="6" t="s">
        <v>68</v>
      </c>
    </row>
    <row r="37" customFormat="false" ht="15" hidden="false" customHeight="false" outlineLevel="0" collapsed="false">
      <c r="A37" s="3" t="s">
        <v>69</v>
      </c>
      <c r="B37" s="11" t="n">
        <v>3000</v>
      </c>
      <c r="L37" s="6" t="s">
        <v>70</v>
      </c>
    </row>
    <row r="38" customFormat="false" ht="15" hidden="false" customHeight="false" outlineLevel="0" collapsed="false">
      <c r="A38" s="3" t="s">
        <v>71</v>
      </c>
      <c r="B38" s="5" t="n">
        <v>0</v>
      </c>
    </row>
    <row r="39" customFormat="false" ht="15" hidden="false" customHeight="false" outlineLevel="0" collapsed="false">
      <c r="A39" s="3" t="s">
        <v>72</v>
      </c>
      <c r="B39" s="11" t="n">
        <v>20</v>
      </c>
      <c r="L39" s="6" t="s">
        <v>60</v>
      </c>
      <c r="M39" s="6" t="s">
        <v>73</v>
      </c>
    </row>
    <row r="40" customFormat="false" ht="15" hidden="false" customHeight="false" outlineLevel="0" collapsed="false">
      <c r="A40" s="3" t="s">
        <v>74</v>
      </c>
      <c r="B40" s="10" t="n">
        <v>0.6</v>
      </c>
      <c r="L40" s="6" t="s">
        <v>75</v>
      </c>
      <c r="M40" s="6" t="s">
        <v>76</v>
      </c>
    </row>
    <row r="41" customFormat="false" ht="15" hidden="false" customHeight="false" outlineLevel="0" collapsed="false">
      <c r="A41" s="3" t="s">
        <v>77</v>
      </c>
      <c r="B41" s="5" t="n">
        <v>0</v>
      </c>
    </row>
    <row r="42" customFormat="false" ht="15" hidden="false" customHeight="false" outlineLevel="0" collapsed="false">
      <c r="A42" s="3" t="s">
        <v>78</v>
      </c>
      <c r="B42" s="10" t="n">
        <v>0.15</v>
      </c>
      <c r="L42" s="6" t="s">
        <v>75</v>
      </c>
    </row>
    <row r="43" customFormat="false" ht="15" hidden="false" customHeight="false" outlineLevel="0" collapsed="false">
      <c r="A43" s="3" t="s">
        <v>79</v>
      </c>
      <c r="B43" s="11" t="n">
        <v>45</v>
      </c>
      <c r="L43" s="6" t="s">
        <v>37</v>
      </c>
    </row>
    <row r="44" customFormat="false" ht="15" hidden="false" customHeight="false" outlineLevel="0" collapsed="false">
      <c r="A44" s="3" t="s">
        <v>80</v>
      </c>
      <c r="B44" s="10" t="n">
        <v>0.45</v>
      </c>
      <c r="L44" s="6" t="s">
        <v>75</v>
      </c>
      <c r="M44" s="6" t="s">
        <v>81</v>
      </c>
    </row>
    <row r="45" customFormat="false" ht="19.5" hidden="false" customHeight="true" outlineLevel="0" collapsed="false">
      <c r="A45" s="7" t="s">
        <v>82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customFormat="false" ht="15" hidden="false" customHeight="false" outlineLevel="0" collapsed="false">
      <c r="A46" s="3" t="s">
        <v>83</v>
      </c>
      <c r="B46" s="11" t="n">
        <v>340</v>
      </c>
      <c r="L46" s="6" t="s">
        <v>37</v>
      </c>
      <c r="M46" s="6" t="s">
        <v>84</v>
      </c>
    </row>
    <row r="47" customFormat="false" ht="15" hidden="false" customHeight="false" outlineLevel="0" collapsed="false">
      <c r="A47" s="3" t="s">
        <v>85</v>
      </c>
      <c r="B47" s="11" t="n">
        <v>285</v>
      </c>
      <c r="L47" s="6" t="s">
        <v>37</v>
      </c>
      <c r="M47" s="6" t="s">
        <v>86</v>
      </c>
    </row>
    <row r="48" customFormat="false" ht="15" hidden="false" customHeight="false" outlineLevel="0" collapsed="false">
      <c r="A48" s="3" t="s">
        <v>87</v>
      </c>
      <c r="B48" s="11" t="n">
        <v>174</v>
      </c>
      <c r="L48" s="6" t="s">
        <v>37</v>
      </c>
      <c r="M48" s="6" t="s">
        <v>88</v>
      </c>
    </row>
    <row r="49" customFormat="false" ht="15" hidden="false" customHeight="false" outlineLevel="0" collapsed="false">
      <c r="A49" s="3" t="s">
        <v>89</v>
      </c>
      <c r="C49" s="19" t="n">
        <f aca="false">CHOOSE(C7, $B$46, $B$47, $B$48) * Scenarios!$B$21</f>
        <v>340</v>
      </c>
      <c r="D49" s="19" t="n">
        <f aca="false">CHOOSE(D7, $B$46, $B$47, $B$48) * Scenarios!$B$21</f>
        <v>340</v>
      </c>
      <c r="E49" s="19" t="n">
        <f aca="false">CHOOSE(E7, $B$46, $B$47, $B$48) * Scenarios!$B$21</f>
        <v>285</v>
      </c>
      <c r="F49" s="19" t="n">
        <f aca="false">CHOOSE(F7, $B$46, $B$47, $B$48) * Scenarios!$B$21</f>
        <v>285</v>
      </c>
      <c r="G49" s="19" t="n">
        <f aca="false">CHOOSE(G7, $B$46, $B$47, $B$48) * Scenarios!$B$21</f>
        <v>174</v>
      </c>
      <c r="H49" s="19" t="n">
        <f aca="false">CHOOSE(H7, $B$46, $B$47, $B$48) * Scenarios!$B$21</f>
        <v>174</v>
      </c>
      <c r="I49" s="19" t="n">
        <f aca="false">CHOOSE(I7, $B$46, $B$47, $B$48) * Scenarios!$B$21</f>
        <v>174</v>
      </c>
      <c r="L49" s="6" t="s">
        <v>37</v>
      </c>
      <c r="M49" s="6" t="s">
        <v>90</v>
      </c>
    </row>
    <row r="50" customFormat="false" ht="15" hidden="false" customHeight="false" outlineLevel="0" collapsed="false">
      <c r="A50" s="3" t="s">
        <v>91</v>
      </c>
      <c r="B50" s="10" t="n">
        <v>0.15</v>
      </c>
      <c r="L50" s="6" t="s">
        <v>75</v>
      </c>
      <c r="M50" s="6" t="s">
        <v>92</v>
      </c>
    </row>
    <row r="52" customFormat="false" ht="19.5" hidden="false" customHeight="true" outlineLevel="0" collapsed="false">
      <c r="A52" s="7" t="s">
        <v>93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customFormat="false" ht="15" hidden="false" customHeight="false" outlineLevel="0" collapsed="false">
      <c r="A53" s="20" t="s">
        <v>94</v>
      </c>
      <c r="B53" s="21" t="s">
        <v>95</v>
      </c>
      <c r="C53" s="21" t="s">
        <v>96</v>
      </c>
      <c r="D53" s="21" t="s">
        <v>97</v>
      </c>
      <c r="E53" s="21" t="s">
        <v>98</v>
      </c>
      <c r="F53" s="21" t="s">
        <v>99</v>
      </c>
      <c r="G53" s="21" t="s">
        <v>100</v>
      </c>
      <c r="H53" s="21" t="s">
        <v>101</v>
      </c>
      <c r="I53" s="21" t="s">
        <v>102</v>
      </c>
    </row>
    <row r="54" customFormat="false" ht="15" hidden="false" customHeight="false" outlineLevel="0" collapsed="false">
      <c r="A54" s="22" t="s">
        <v>103</v>
      </c>
      <c r="B54" s="11" t="n">
        <v>50000</v>
      </c>
      <c r="C54" s="23" t="n">
        <v>1</v>
      </c>
      <c r="D54" s="23" t="n">
        <v>1</v>
      </c>
      <c r="E54" s="23" t="n">
        <v>1</v>
      </c>
      <c r="F54" s="23" t="n">
        <v>1</v>
      </c>
      <c r="G54" s="23" t="n">
        <v>1</v>
      </c>
      <c r="H54" s="23" t="n">
        <v>1</v>
      </c>
      <c r="I54" s="23" t="n">
        <v>1</v>
      </c>
    </row>
    <row r="55" customFormat="false" ht="15" hidden="false" customHeight="false" outlineLevel="0" collapsed="false">
      <c r="A55" s="22" t="s">
        <v>104</v>
      </c>
      <c r="B55" s="11" t="n">
        <v>55000</v>
      </c>
      <c r="C55" s="23" t="n">
        <v>3</v>
      </c>
      <c r="D55" s="23" t="n">
        <v>3</v>
      </c>
      <c r="E55" s="23" t="n">
        <v>4</v>
      </c>
      <c r="F55" s="23" t="n">
        <v>5</v>
      </c>
      <c r="G55" s="23" t="n">
        <v>6</v>
      </c>
      <c r="H55" s="23" t="n">
        <v>7</v>
      </c>
      <c r="I55" s="23" t="n">
        <v>8</v>
      </c>
    </row>
    <row r="56" customFormat="false" ht="15" hidden="false" customHeight="false" outlineLevel="0" collapsed="false">
      <c r="A56" s="22" t="s">
        <v>105</v>
      </c>
      <c r="B56" s="11" t="n">
        <v>65000</v>
      </c>
      <c r="C56" s="23" t="n">
        <v>0</v>
      </c>
      <c r="D56" s="23" t="n">
        <v>0.5</v>
      </c>
      <c r="E56" s="23" t="n">
        <v>1</v>
      </c>
      <c r="F56" s="23" t="n">
        <v>1.5</v>
      </c>
      <c r="G56" s="23" t="n">
        <v>2</v>
      </c>
      <c r="H56" s="23" t="n">
        <v>2</v>
      </c>
      <c r="I56" s="23" t="n">
        <v>2</v>
      </c>
    </row>
    <row r="57" customFormat="false" ht="15" hidden="false" customHeight="false" outlineLevel="0" collapsed="false">
      <c r="A57" s="22" t="s">
        <v>106</v>
      </c>
      <c r="B57" s="11" t="n">
        <v>40000</v>
      </c>
      <c r="C57" s="23" t="n">
        <v>0</v>
      </c>
      <c r="D57" s="23" t="n">
        <v>0.5</v>
      </c>
      <c r="E57" s="23" t="n">
        <v>1</v>
      </c>
      <c r="F57" s="23" t="n">
        <v>1</v>
      </c>
      <c r="G57" s="23" t="n">
        <v>1</v>
      </c>
      <c r="H57" s="23" t="n">
        <v>1</v>
      </c>
      <c r="I57" s="23" t="n">
        <v>1</v>
      </c>
    </row>
    <row r="58" customFormat="false" ht="15" hidden="false" customHeight="false" outlineLevel="0" collapsed="false">
      <c r="A58" s="22" t="s">
        <v>107</v>
      </c>
      <c r="B58" s="11" t="n">
        <v>48000</v>
      </c>
      <c r="C58" s="23" t="n">
        <v>0</v>
      </c>
      <c r="D58" s="23" t="n">
        <v>0</v>
      </c>
      <c r="E58" s="23" t="n">
        <v>1</v>
      </c>
      <c r="F58" s="23" t="n">
        <v>2</v>
      </c>
      <c r="G58" s="23" t="n">
        <v>3</v>
      </c>
      <c r="H58" s="23" t="n">
        <v>3</v>
      </c>
      <c r="I58" s="23" t="n">
        <v>3</v>
      </c>
    </row>
    <row r="59" customFormat="false" ht="15" hidden="false" customHeight="false" outlineLevel="0" collapsed="false">
      <c r="A59" s="22" t="s">
        <v>108</v>
      </c>
      <c r="B59" s="11" t="n">
        <v>45000</v>
      </c>
      <c r="C59" s="23" t="n">
        <v>0</v>
      </c>
      <c r="D59" s="23" t="n">
        <v>0</v>
      </c>
      <c r="E59" s="23" t="n">
        <v>0</v>
      </c>
      <c r="F59" s="23" t="n">
        <v>1</v>
      </c>
      <c r="G59" s="23" t="n">
        <v>1</v>
      </c>
      <c r="H59" s="23" t="n">
        <v>1</v>
      </c>
      <c r="I59" s="23" t="n">
        <v>1</v>
      </c>
    </row>
    <row r="60" customFormat="false" ht="15" hidden="false" customHeight="false" outlineLevel="0" collapsed="false">
      <c r="A60" s="22" t="s">
        <v>109</v>
      </c>
      <c r="B60" s="11" t="n">
        <v>32000</v>
      </c>
      <c r="C60" s="23" t="n">
        <v>0</v>
      </c>
      <c r="D60" s="23" t="n">
        <v>0</v>
      </c>
      <c r="E60" s="23" t="n">
        <v>0</v>
      </c>
      <c r="F60" s="23" t="n">
        <v>0.5</v>
      </c>
      <c r="G60" s="23" t="n">
        <v>1</v>
      </c>
      <c r="H60" s="23" t="n">
        <v>1.5</v>
      </c>
      <c r="I60" s="23" t="n">
        <v>2</v>
      </c>
    </row>
    <row r="61" customFormat="false" ht="15" hidden="false" customHeight="false" outlineLevel="0" collapsed="false">
      <c r="A61" s="22" t="s">
        <v>110</v>
      </c>
      <c r="B61" s="11" t="n">
        <v>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</row>
    <row r="62" customFormat="false" ht="15" hidden="false" customHeight="false" outlineLevel="0" collapsed="false">
      <c r="A62" s="20" t="s">
        <v>111</v>
      </c>
      <c r="C62" s="24" t="n">
        <f aca="false">SUM(C54:C61)</f>
        <v>4</v>
      </c>
      <c r="D62" s="24" t="n">
        <f aca="false">SUM(D54:D61)</f>
        <v>5</v>
      </c>
      <c r="E62" s="24" t="n">
        <f aca="false">SUM(E54:E61)</f>
        <v>8</v>
      </c>
      <c r="F62" s="24" t="n">
        <f aca="false">SUM(F54:F61)</f>
        <v>12</v>
      </c>
      <c r="G62" s="24" t="n">
        <f aca="false">SUM(G54:G61)</f>
        <v>15</v>
      </c>
      <c r="H62" s="24" t="n">
        <f aca="false">SUM(H54:H61)</f>
        <v>16.5</v>
      </c>
      <c r="I62" s="24" t="n">
        <f aca="false">SUM(I54:I61)</f>
        <v>18</v>
      </c>
    </row>
    <row r="63" customFormat="false" ht="15" hidden="false" customHeight="false" outlineLevel="0" collapsed="false">
      <c r="A63" s="3" t="s">
        <v>112</v>
      </c>
      <c r="C63" s="19" t="n">
        <f aca="false">SUMPRODUCT($B$54:$B$61, C54:C61)</f>
        <v>215000</v>
      </c>
      <c r="D63" s="19" t="n">
        <f aca="false">SUMPRODUCT($B$54:$B$61, D54:D61)</f>
        <v>267500</v>
      </c>
      <c r="E63" s="19" t="n">
        <f aca="false">SUMPRODUCT($B$54:$B$61, E54:E61)</f>
        <v>423000</v>
      </c>
      <c r="F63" s="19" t="n">
        <f aca="false">SUMPRODUCT($B$54:$B$61, F54:F61)</f>
        <v>619500</v>
      </c>
      <c r="G63" s="19" t="n">
        <f aca="false">SUMPRODUCT($B$54:$B$61, G54:G61)</f>
        <v>771000</v>
      </c>
      <c r="H63" s="19" t="n">
        <f aca="false">SUMPRODUCT($B$54:$B$61, H54:H61)</f>
        <v>842000</v>
      </c>
      <c r="I63" s="19" t="n">
        <f aca="false">SUMPRODUCT($B$54:$B$61, I54:I61)</f>
        <v>913000</v>
      </c>
      <c r="L63" s="6" t="s">
        <v>113</v>
      </c>
    </row>
    <row r="64" customFormat="false" ht="15" hidden="false" customHeight="false" outlineLevel="0" collapsed="false">
      <c r="A64" s="3" t="s">
        <v>114</v>
      </c>
      <c r="C64" s="11" t="n">
        <v>-30000</v>
      </c>
      <c r="D64" s="11" t="n">
        <v>-30000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L64" s="6" t="s">
        <v>113</v>
      </c>
      <c r="M64" s="6" t="s">
        <v>115</v>
      </c>
    </row>
    <row r="65" customFormat="false" ht="15" hidden="false" customHeight="false" outlineLevel="0" collapsed="false">
      <c r="A65" s="3" t="s">
        <v>116</v>
      </c>
      <c r="B65" s="10" t="n">
        <v>0.19</v>
      </c>
      <c r="L65" s="6" t="s">
        <v>75</v>
      </c>
      <c r="M65" s="6" t="s">
        <v>117</v>
      </c>
    </row>
    <row r="66" customFormat="false" ht="15" hidden="false" customHeight="false" outlineLevel="0" collapsed="false">
      <c r="A66" s="3" t="s">
        <v>118</v>
      </c>
      <c r="C66" s="19" t="n">
        <f aca="false">(C63 + C64) * (1 + $B$65) * Scenarios!$B$23</f>
        <v>220150</v>
      </c>
      <c r="D66" s="19" t="n">
        <f aca="false">(D63 + D64) * (1 + $B$65) * Scenarios!$B$23</f>
        <v>282625</v>
      </c>
      <c r="E66" s="19" t="n">
        <f aca="false">(E63 + E64) * (1 + $B$65) * Scenarios!$B$23</f>
        <v>503370</v>
      </c>
      <c r="F66" s="19" t="n">
        <f aca="false">(F63 + F64) * (1 + $B$65) * Scenarios!$B$23</f>
        <v>737205</v>
      </c>
      <c r="G66" s="19" t="n">
        <f aca="false">(G63 + G64) * (1 + $B$65) * Scenarios!$B$23</f>
        <v>917490</v>
      </c>
      <c r="H66" s="19" t="n">
        <f aca="false">(H63 + H64) * (1 + $B$65) * Scenarios!$B$23</f>
        <v>1001980</v>
      </c>
      <c r="I66" s="19" t="n">
        <f aca="false">(I63 + I64) * (1 + $B$65) * Scenarios!$B$23</f>
        <v>1086470</v>
      </c>
      <c r="L66" s="6" t="s">
        <v>113</v>
      </c>
      <c r="M66" s="6" t="s">
        <v>119</v>
      </c>
    </row>
    <row r="67" customFormat="false" ht="15" hidden="false" customHeight="false" outlineLevel="0" collapsed="false">
      <c r="A67" s="3" t="s">
        <v>120</v>
      </c>
      <c r="B67" s="10" t="n">
        <v>0.15</v>
      </c>
      <c r="L67" s="6" t="s">
        <v>121</v>
      </c>
      <c r="M67" s="6" t="s">
        <v>122</v>
      </c>
    </row>
    <row r="68" customFormat="false" ht="15" hidden="false" customHeight="false" outlineLevel="0" collapsed="false">
      <c r="A68" s="3" t="s">
        <v>123</v>
      </c>
      <c r="C68" s="19" t="n">
        <f aca="false">INDEX($C$28:$K$28, 1, MAX(C5 - Scenarios!$B$26, MIN(C5, 3))) * $B$26 * Scenarios!$B$20 * $B$33 * C32 * $B$67</f>
        <v>0</v>
      </c>
      <c r="D68" s="19" t="n">
        <f aca="false">INDEX($C$28:$K$28, 1, MAX(D5 - Scenarios!$B$26, MIN(D5, 3))) * $B$26 * Scenarios!$B$20 * $B$33 * D32 * $B$67</f>
        <v>0</v>
      </c>
      <c r="E68" s="19" t="n">
        <f aca="false">INDEX($C$28:$K$28, 1, MAX(E5 - Scenarios!$B$26, MIN(E5, 3))) * $B$26 * Scenarios!$B$20 * $B$33 * E32 * $B$67</f>
        <v>8100</v>
      </c>
      <c r="F68" s="19" t="n">
        <f aca="false">INDEX($C$28:$K$28, 1, MAX(F5 - Scenarios!$B$26, MIN(F5, 3))) * $B$26 * Scenarios!$B$20 * $B$33 * F32 * $B$67</f>
        <v>24300</v>
      </c>
      <c r="G68" s="19" t="n">
        <f aca="false">INDEX($C$28:$K$28, 1, MAX(G5 - Scenarios!$B$26, MIN(G5, 3))) * $B$26 * Scenarios!$B$20 * $B$33 * G32 * $B$67</f>
        <v>40500</v>
      </c>
      <c r="H68" s="19" t="n">
        <f aca="false">INDEX($C$28:$K$28, 1, MAX(H5 - Scenarios!$B$26, MIN(H5, 3))) * $B$26 * Scenarios!$B$20 * $B$33 * H32 * $B$67</f>
        <v>108000</v>
      </c>
      <c r="I68" s="19" t="n">
        <f aca="false">INDEX($C$28:$K$28, 1, MAX(I5 - Scenarios!$B$26, MIN(I5, 3))) * $B$26 * Scenarios!$B$20 * $B$33 * I32 * $B$67</f>
        <v>202500</v>
      </c>
      <c r="L68" s="6" t="s">
        <v>113</v>
      </c>
      <c r="M68" s="6" t="s">
        <v>124</v>
      </c>
    </row>
    <row r="69" customFormat="false" ht="15" hidden="false" customHeight="false" outlineLevel="0" collapsed="false">
      <c r="A69" s="14" t="s">
        <v>125</v>
      </c>
      <c r="B69" s="15"/>
      <c r="C69" s="16" t="n">
        <f aca="false">C66 + C68</f>
        <v>220150</v>
      </c>
      <c r="D69" s="16" t="n">
        <f aca="false">D66 + D68</f>
        <v>282625</v>
      </c>
      <c r="E69" s="16" t="n">
        <f aca="false">E66 + E68</f>
        <v>511470</v>
      </c>
      <c r="F69" s="16" t="n">
        <f aca="false">F66 + F68</f>
        <v>761505</v>
      </c>
      <c r="G69" s="16" t="n">
        <f aca="false">G66 + G68</f>
        <v>957990</v>
      </c>
      <c r="H69" s="16" t="n">
        <f aca="false">H66 + H68</f>
        <v>1109980</v>
      </c>
      <c r="I69" s="16" t="n">
        <f aca="false">I66 + I68</f>
        <v>1288970</v>
      </c>
      <c r="J69" s="15"/>
      <c r="K69" s="15"/>
      <c r="L69" s="17" t="s">
        <v>113</v>
      </c>
      <c r="M69" s="17" t="s">
        <v>126</v>
      </c>
    </row>
    <row r="71" customFormat="false" ht="19.5" hidden="false" customHeight="true" outlineLevel="0" collapsed="false">
      <c r="A71" s="7" t="s">
        <v>127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customFormat="false" ht="15" hidden="false" customHeight="false" outlineLevel="0" collapsed="false">
      <c r="A72" s="3" t="s">
        <v>128</v>
      </c>
      <c r="C72" s="11" t="n">
        <v>15000</v>
      </c>
      <c r="D72" s="11" t="n">
        <v>20000</v>
      </c>
      <c r="E72" s="11" t="n">
        <v>25000</v>
      </c>
      <c r="F72" s="11" t="n">
        <v>30000</v>
      </c>
      <c r="G72" s="11" t="n">
        <v>30000</v>
      </c>
      <c r="H72" s="11" t="n">
        <v>30000</v>
      </c>
      <c r="I72" s="11" t="n">
        <v>30000</v>
      </c>
      <c r="L72" s="6" t="s">
        <v>113</v>
      </c>
      <c r="M72" s="6" t="s">
        <v>129</v>
      </c>
    </row>
    <row r="73" customFormat="false" ht="15" hidden="false" customHeight="false" outlineLevel="0" collapsed="false">
      <c r="A73" s="3" t="s">
        <v>130</v>
      </c>
      <c r="C73" s="19" t="n">
        <f aca="false">C30 + C31</f>
        <v>5000</v>
      </c>
      <c r="D73" s="19" t="n">
        <f aca="false">D30 + D31</f>
        <v>10000</v>
      </c>
      <c r="E73" s="19" t="n">
        <f aca="false">E30 + E31</f>
        <v>25000</v>
      </c>
      <c r="F73" s="19" t="n">
        <f aca="false">F30 + F31</f>
        <v>50000</v>
      </c>
      <c r="G73" s="19" t="n">
        <f aca="false">G30 + G31</f>
        <v>150000</v>
      </c>
      <c r="H73" s="19" t="n">
        <f aca="false">H30 + H31</f>
        <v>300000</v>
      </c>
      <c r="I73" s="19" t="n">
        <f aca="false">I30 + I31</f>
        <v>500000</v>
      </c>
      <c r="L73" s="6" t="s">
        <v>113</v>
      </c>
      <c r="M73" s="6" t="s">
        <v>131</v>
      </c>
    </row>
    <row r="74" customFormat="false" ht="15" hidden="false" customHeight="false" outlineLevel="0" collapsed="false">
      <c r="A74" s="3" t="s">
        <v>132</v>
      </c>
      <c r="C74" s="11" t="n">
        <v>8000</v>
      </c>
      <c r="D74" s="11" t="n">
        <v>12000</v>
      </c>
      <c r="E74" s="11" t="n">
        <v>25000</v>
      </c>
      <c r="F74" s="11" t="n">
        <v>40000</v>
      </c>
      <c r="G74" s="11" t="n">
        <v>55000</v>
      </c>
      <c r="H74" s="11" t="n">
        <v>70000</v>
      </c>
      <c r="I74" s="11" t="n">
        <v>85000</v>
      </c>
      <c r="L74" s="6" t="s">
        <v>113</v>
      </c>
    </row>
    <row r="75" customFormat="false" ht="15" hidden="false" customHeight="false" outlineLevel="0" collapsed="false">
      <c r="A75" s="3" t="s">
        <v>133</v>
      </c>
      <c r="C75" s="11" t="n">
        <v>10000</v>
      </c>
      <c r="D75" s="11" t="n">
        <v>15000</v>
      </c>
      <c r="E75" s="11" t="n">
        <v>30000</v>
      </c>
      <c r="F75" s="11" t="n">
        <v>40000</v>
      </c>
      <c r="G75" s="11" t="n">
        <v>50000</v>
      </c>
      <c r="H75" s="11" t="n">
        <v>60000</v>
      </c>
      <c r="I75" s="11" t="n">
        <v>70000</v>
      </c>
      <c r="L75" s="6" t="s">
        <v>113</v>
      </c>
      <c r="M75" s="6" t="s">
        <v>134</v>
      </c>
    </row>
    <row r="76" customFormat="false" ht="15" hidden="false" customHeight="false" outlineLevel="0" collapsed="false">
      <c r="A76" s="3" t="s">
        <v>135</v>
      </c>
      <c r="C76" s="11" t="n">
        <v>6000</v>
      </c>
      <c r="D76" s="11" t="n">
        <v>10000</v>
      </c>
      <c r="E76" s="11" t="n">
        <v>20000</v>
      </c>
      <c r="F76" s="11" t="n">
        <v>35000</v>
      </c>
      <c r="G76" s="11" t="n">
        <v>55000</v>
      </c>
      <c r="H76" s="11" t="n">
        <v>75000</v>
      </c>
      <c r="I76" s="11" t="n">
        <v>95000</v>
      </c>
      <c r="L76" s="6" t="s">
        <v>113</v>
      </c>
      <c r="M76" s="6" t="s">
        <v>136</v>
      </c>
    </row>
    <row r="77" customFormat="false" ht="15" hidden="false" customHeight="false" outlineLevel="0" collapsed="false">
      <c r="A77" s="14" t="s">
        <v>137</v>
      </c>
      <c r="B77" s="15"/>
      <c r="C77" s="16" t="n">
        <f aca="false">SUM(C72:C76)</f>
        <v>44000</v>
      </c>
      <c r="D77" s="16" t="n">
        <f aca="false">SUM(D72:D76)</f>
        <v>67000</v>
      </c>
      <c r="E77" s="16" t="n">
        <f aca="false">SUM(E72:E76)</f>
        <v>125000</v>
      </c>
      <c r="F77" s="16" t="n">
        <f aca="false">SUM(F72:F76)</f>
        <v>195000</v>
      </c>
      <c r="G77" s="16" t="n">
        <f aca="false">SUM(G72:G76)</f>
        <v>340000</v>
      </c>
      <c r="H77" s="16" t="n">
        <f aca="false">SUM(H72:H76)</f>
        <v>535000</v>
      </c>
      <c r="I77" s="16" t="n">
        <f aca="false">SUM(I72:I76)</f>
        <v>780000</v>
      </c>
      <c r="J77" s="15"/>
      <c r="K77" s="15"/>
      <c r="L77" s="17" t="s">
        <v>113</v>
      </c>
      <c r="M77" s="15"/>
    </row>
    <row r="79" customFormat="false" ht="19.5" hidden="false" customHeight="true" outlineLevel="0" collapsed="false">
      <c r="A79" s="7" t="s">
        <v>138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customFormat="false" ht="15" hidden="false" customHeight="false" outlineLevel="0" collapsed="false">
      <c r="A80" s="3" t="s">
        <v>139</v>
      </c>
      <c r="C80" s="11" t="n">
        <v>0</v>
      </c>
      <c r="D80" s="11" t="n">
        <v>20000</v>
      </c>
      <c r="E80" s="11" t="n">
        <v>24000</v>
      </c>
      <c r="F80" s="11" t="n">
        <v>35000</v>
      </c>
      <c r="G80" s="11" t="n">
        <v>45000</v>
      </c>
      <c r="H80" s="11" t="n">
        <v>55000</v>
      </c>
      <c r="I80" s="11" t="n">
        <v>65000</v>
      </c>
      <c r="L80" s="6" t="s">
        <v>113</v>
      </c>
      <c r="M80" s="6" t="s">
        <v>140</v>
      </c>
    </row>
    <row r="82" customFormat="false" ht="19.5" hidden="false" customHeight="true" outlineLevel="0" collapsed="false">
      <c r="A82" s="7" t="s">
        <v>141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customFormat="false" ht="15" hidden="false" customHeight="false" outlineLevel="0" collapsed="false">
      <c r="A83" s="3" t="s">
        <v>142</v>
      </c>
      <c r="C83" s="11" t="n">
        <v>6000</v>
      </c>
      <c r="D83" s="11" t="n">
        <v>12000</v>
      </c>
      <c r="E83" s="11" t="n">
        <v>20000</v>
      </c>
      <c r="F83" s="11" t="n">
        <v>28000</v>
      </c>
      <c r="G83" s="11" t="n">
        <v>36000</v>
      </c>
      <c r="H83" s="11" t="n">
        <v>44000</v>
      </c>
      <c r="I83" s="11" t="n">
        <v>50000</v>
      </c>
      <c r="L83" s="6" t="s">
        <v>113</v>
      </c>
      <c r="M83" s="6" t="s">
        <v>143</v>
      </c>
    </row>
    <row r="85" customFormat="false" ht="19.5" hidden="false" customHeight="true" outlineLevel="0" collapsed="false">
      <c r="A85" s="7" t="s">
        <v>144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customFormat="false" ht="15" hidden="false" customHeight="false" outlineLevel="0" collapsed="false">
      <c r="A86" s="3" t="s">
        <v>145</v>
      </c>
      <c r="C86" s="13" t="n">
        <v>0</v>
      </c>
      <c r="D86" s="13" t="n">
        <v>130000</v>
      </c>
      <c r="E86" s="13" t="n">
        <v>140000</v>
      </c>
      <c r="F86" s="13" t="n">
        <v>0</v>
      </c>
      <c r="G86" s="13" t="n">
        <v>0</v>
      </c>
      <c r="H86" s="13" t="n">
        <v>0</v>
      </c>
      <c r="I86" s="13" t="n">
        <v>0</v>
      </c>
      <c r="L86" s="6" t="s">
        <v>113</v>
      </c>
      <c r="M86" s="6" t="s">
        <v>146</v>
      </c>
    </row>
    <row r="87" customFormat="false" ht="15" hidden="false" customHeight="false" outlineLevel="0" collapsed="false">
      <c r="A87" s="3" t="s">
        <v>147</v>
      </c>
      <c r="C87" s="13" t="n">
        <v>0</v>
      </c>
      <c r="D87" s="13" t="n">
        <v>0</v>
      </c>
      <c r="E87" s="13" t="n">
        <v>0</v>
      </c>
      <c r="F87" s="13" t="n">
        <v>55000</v>
      </c>
      <c r="G87" s="13" t="n">
        <v>55000</v>
      </c>
      <c r="H87" s="13" t="n">
        <v>60000</v>
      </c>
      <c r="I87" s="13" t="n">
        <v>65000</v>
      </c>
      <c r="L87" s="6" t="s">
        <v>113</v>
      </c>
      <c r="M87" s="6" t="s">
        <v>148</v>
      </c>
    </row>
    <row r="88" customFormat="false" ht="15" hidden="false" customHeight="false" outlineLevel="0" collapsed="false">
      <c r="A88" s="14" t="s">
        <v>149</v>
      </c>
      <c r="B88" s="15"/>
      <c r="C88" s="16" t="n">
        <f aca="false">C86 + C87</f>
        <v>0</v>
      </c>
      <c r="D88" s="16" t="n">
        <f aca="false">D86 + D87</f>
        <v>130000</v>
      </c>
      <c r="E88" s="16" t="n">
        <f aca="false">E86 + E87</f>
        <v>140000</v>
      </c>
      <c r="F88" s="16" t="n">
        <f aca="false">F86 + F87</f>
        <v>55000</v>
      </c>
      <c r="G88" s="16" t="n">
        <f aca="false">G86 + G87</f>
        <v>55000</v>
      </c>
      <c r="H88" s="16" t="n">
        <f aca="false">H86 + H87</f>
        <v>60000</v>
      </c>
      <c r="I88" s="16" t="n">
        <f aca="false">I86 + I87</f>
        <v>65000</v>
      </c>
      <c r="J88" s="15"/>
      <c r="K88" s="15"/>
      <c r="L88" s="17" t="s">
        <v>113</v>
      </c>
      <c r="M88" s="15"/>
    </row>
    <row r="90" customFormat="false" ht="19.5" hidden="false" customHeight="true" outlineLevel="0" collapsed="false">
      <c r="A90" s="7" t="s">
        <v>150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customFormat="false" ht="15" hidden="false" customHeight="false" outlineLevel="0" collapsed="false">
      <c r="A91" s="20" t="s">
        <v>151</v>
      </c>
      <c r="B91" s="21" t="s">
        <v>152</v>
      </c>
      <c r="C91" s="21" t="s">
        <v>153</v>
      </c>
      <c r="D91" s="21" t="s">
        <v>154</v>
      </c>
    </row>
    <row r="92" customFormat="false" ht="15" hidden="false" customHeight="false" outlineLevel="0" collapsed="false">
      <c r="A92" s="22" t="s">
        <v>155</v>
      </c>
      <c r="B92" s="11" t="n">
        <v>4000</v>
      </c>
      <c r="C92" s="25" t="n">
        <v>1</v>
      </c>
      <c r="D92" s="25" t="n">
        <v>5</v>
      </c>
    </row>
    <row r="93" customFormat="false" ht="15" hidden="false" customHeight="false" outlineLevel="0" collapsed="false">
      <c r="A93" s="22" t="s">
        <v>156</v>
      </c>
      <c r="B93" s="11" t="n">
        <v>2500</v>
      </c>
      <c r="C93" s="25" t="n">
        <v>1</v>
      </c>
      <c r="D93" s="25" t="n">
        <v>5</v>
      </c>
    </row>
    <row r="94" customFormat="false" ht="15" hidden="false" customHeight="false" outlineLevel="0" collapsed="false">
      <c r="A94" s="22" t="s">
        <v>157</v>
      </c>
      <c r="B94" s="11" t="n">
        <v>6000</v>
      </c>
      <c r="C94" s="25" t="n">
        <v>2</v>
      </c>
      <c r="D94" s="25" t="n">
        <v>5</v>
      </c>
    </row>
    <row r="95" customFormat="false" ht="15" hidden="false" customHeight="false" outlineLevel="0" collapsed="false">
      <c r="A95" s="22" t="s">
        <v>158</v>
      </c>
      <c r="B95" s="11" t="n">
        <v>15000</v>
      </c>
      <c r="C95" s="25" t="n">
        <v>3</v>
      </c>
      <c r="D95" s="25" t="n">
        <v>5</v>
      </c>
    </row>
    <row r="96" customFormat="false" ht="15" hidden="false" customHeight="false" outlineLevel="0" collapsed="false">
      <c r="A96" s="22" t="s">
        <v>159</v>
      </c>
      <c r="B96" s="11" t="n">
        <v>20000</v>
      </c>
      <c r="C96" s="25" t="n">
        <v>4</v>
      </c>
      <c r="D96" s="25" t="n">
        <v>5</v>
      </c>
    </row>
    <row r="97" customFormat="false" ht="15" hidden="false" customHeight="false" outlineLevel="0" collapsed="false">
      <c r="A97" s="22" t="s">
        <v>160</v>
      </c>
      <c r="B97" s="11" t="n">
        <v>12000</v>
      </c>
      <c r="C97" s="25" t="n">
        <v>5</v>
      </c>
      <c r="D97" s="25" t="n">
        <v>5</v>
      </c>
    </row>
    <row r="98" customFormat="false" ht="15" hidden="false" customHeight="false" outlineLevel="0" collapsed="false">
      <c r="A98" s="22" t="s">
        <v>161</v>
      </c>
      <c r="B98" s="11" t="n">
        <v>18000</v>
      </c>
      <c r="C98" s="25" t="n">
        <v>5</v>
      </c>
      <c r="D98" s="25" t="n">
        <v>5</v>
      </c>
    </row>
    <row r="99" customFormat="false" ht="15" hidden="false" customHeight="false" outlineLevel="0" collapsed="false">
      <c r="A99" s="22" t="s">
        <v>162</v>
      </c>
      <c r="B99" s="11" t="n">
        <v>12000</v>
      </c>
      <c r="C99" s="25" t="n">
        <v>6</v>
      </c>
      <c r="D99" s="25" t="n">
        <v>5</v>
      </c>
    </row>
    <row r="100" customFormat="false" ht="15" hidden="false" customHeight="false" outlineLevel="0" collapsed="false">
      <c r="A100" s="22" t="s">
        <v>163</v>
      </c>
      <c r="B100" s="11" t="n">
        <v>22000</v>
      </c>
      <c r="C100" s="25" t="n">
        <v>7</v>
      </c>
      <c r="D100" s="25" t="n">
        <v>7</v>
      </c>
    </row>
    <row r="101" customFormat="false" ht="15" hidden="false" customHeight="false" outlineLevel="0" collapsed="false">
      <c r="A101" s="22" t="s">
        <v>110</v>
      </c>
      <c r="B101" s="11" t="n">
        <v>0</v>
      </c>
      <c r="C101" s="25" t="n">
        <v>1</v>
      </c>
      <c r="D101" s="25" t="n">
        <v>5</v>
      </c>
    </row>
    <row r="103" customFormat="false" ht="15" hidden="false" customHeight="false" outlineLevel="0" collapsed="false">
      <c r="A103" s="20" t="s">
        <v>164</v>
      </c>
      <c r="C103" s="19" t="n">
        <f aca="false">SUMIFS($B$92:$B$101, $C$92:$C$101, C5)</f>
        <v>6500</v>
      </c>
      <c r="D103" s="19" t="n">
        <f aca="false">SUMIFS($B$92:$B$101, $C$92:$C$101, D5)</f>
        <v>6000</v>
      </c>
      <c r="E103" s="19" t="n">
        <f aca="false">SUMIFS($B$92:$B$101, $C$92:$C$101, E5)</f>
        <v>15000</v>
      </c>
      <c r="F103" s="19" t="n">
        <f aca="false">SUMIFS($B$92:$B$101, $C$92:$C$101, F5)</f>
        <v>20000</v>
      </c>
      <c r="G103" s="19" t="n">
        <f aca="false">SUMIFS($B$92:$B$101, $C$92:$C$101, G5)</f>
        <v>30000</v>
      </c>
      <c r="H103" s="19" t="n">
        <f aca="false">SUMIFS($B$92:$B$101, $C$92:$C$101, H5)</f>
        <v>12000</v>
      </c>
      <c r="I103" s="19" t="n">
        <f aca="false">SUMIFS($B$92:$B$101, $C$92:$C$101, I5)</f>
        <v>22000</v>
      </c>
      <c r="L103" s="6" t="s">
        <v>113</v>
      </c>
    </row>
    <row r="104" customFormat="false" ht="15" hidden="false" customHeight="false" outlineLevel="0" collapsed="false">
      <c r="A104" s="3" t="s">
        <v>165</v>
      </c>
      <c r="C104" s="19" t="n">
        <f aca="true">C103 + OFFSET(C104, 0, -1)</f>
        <v>6500</v>
      </c>
      <c r="D104" s="19" t="n">
        <f aca="true">D103 + OFFSET(D104, 0, -1)</f>
        <v>12500</v>
      </c>
      <c r="E104" s="19" t="n">
        <f aca="true">E103 + OFFSET(E104, 0, -1)</f>
        <v>27500</v>
      </c>
      <c r="F104" s="19" t="n">
        <f aca="true">F103 + OFFSET(F104, 0, -1)</f>
        <v>47500</v>
      </c>
      <c r="G104" s="19" t="n">
        <f aca="true">G103 + OFFSET(G104, 0, -1)</f>
        <v>77500</v>
      </c>
      <c r="H104" s="19" t="n">
        <f aca="true">H103 + OFFSET(H104, 0, -1)</f>
        <v>89500</v>
      </c>
      <c r="I104" s="19" t="n">
        <f aca="true">I103 + OFFSET(I104, 0, -1)</f>
        <v>111500</v>
      </c>
      <c r="L104" s="6" t="s">
        <v>113</v>
      </c>
    </row>
    <row r="105" customFormat="false" ht="15" hidden="false" customHeight="false" outlineLevel="0" collapsed="false">
      <c r="A105" s="3" t="s">
        <v>166</v>
      </c>
      <c r="C105" s="19" t="n">
        <f aca="false">SUMPRODUCT(($C$92:$C$101 &lt;= C5) * (C5 &lt; $C$92:$C$101 + $D$92:$D$101) * ($B$92:$B$101 / $D$92:$D$101))</f>
        <v>1300</v>
      </c>
      <c r="D105" s="19" t="n">
        <f aca="false">SUMPRODUCT(($C$92:$C$101 &lt;= D5) * (D5 &lt; $C$92:$C$101 + $D$92:$D$101) * ($B$92:$B$101 / $D$92:$D$101))</f>
        <v>2500</v>
      </c>
      <c r="E105" s="19" t="n">
        <f aca="false">SUMPRODUCT(($C$92:$C$101 &lt;= E5) * (E5 &lt; $C$92:$C$101 + $D$92:$D$101) * ($B$92:$B$101 / $D$92:$D$101))</f>
        <v>5500</v>
      </c>
      <c r="F105" s="19" t="n">
        <f aca="false">SUMPRODUCT(($C$92:$C$101 &lt;= F5) * (F5 &lt; $C$92:$C$101 + $D$92:$D$101) * ($B$92:$B$101 / $D$92:$D$101))</f>
        <v>9500</v>
      </c>
      <c r="G105" s="19" t="n">
        <f aca="false">SUMPRODUCT(($C$92:$C$101 &lt;= G5) * (G5 &lt; $C$92:$C$101 + $D$92:$D$101) * ($B$92:$B$101 / $D$92:$D$101))</f>
        <v>15500</v>
      </c>
      <c r="H105" s="19" t="n">
        <f aca="false">SUMPRODUCT(($C$92:$C$101 &lt;= H5) * (H5 &lt; $C$92:$C$101 + $D$92:$D$101) * ($B$92:$B$101 / $D$92:$D$101))</f>
        <v>16600</v>
      </c>
      <c r="I105" s="19" t="n">
        <f aca="false">SUMPRODUCT(($C$92:$C$101 &lt;= I5) * (I5 &lt; $C$92:$C$101 + $D$92:$D$101) * ($B$92:$B$101 / $D$92:$D$101))</f>
        <v>18542.8571428571</v>
      </c>
      <c r="L105" s="6" t="s">
        <v>113</v>
      </c>
      <c r="M105" s="6" t="s">
        <v>167</v>
      </c>
    </row>
    <row r="106" customFormat="false" ht="15" hidden="false" customHeight="false" outlineLevel="0" collapsed="false">
      <c r="A106" s="3" t="s">
        <v>168</v>
      </c>
      <c r="C106" s="19" t="n">
        <f aca="true">C105 + OFFSET(C106, 0, -1)</f>
        <v>1300</v>
      </c>
      <c r="D106" s="19" t="n">
        <f aca="true">D105 + OFFSET(D106, 0, -1)</f>
        <v>3800</v>
      </c>
      <c r="E106" s="19" t="n">
        <f aca="true">E105 + OFFSET(E106, 0, -1)</f>
        <v>9300</v>
      </c>
      <c r="F106" s="19" t="n">
        <f aca="true">F105 + OFFSET(F106, 0, -1)</f>
        <v>18800</v>
      </c>
      <c r="G106" s="19" t="n">
        <f aca="true">G105 + OFFSET(G106, 0, -1)</f>
        <v>34300</v>
      </c>
      <c r="H106" s="19" t="n">
        <f aca="true">H105 + OFFSET(H106, 0, -1)</f>
        <v>50900</v>
      </c>
      <c r="I106" s="19" t="n">
        <f aca="true">I105 + OFFSET(I106, 0, -1)</f>
        <v>69442.8571428571</v>
      </c>
      <c r="L106" s="6" t="s">
        <v>113</v>
      </c>
    </row>
    <row r="107" customFormat="false" ht="15" hidden="false" customHeight="false" outlineLevel="0" collapsed="false">
      <c r="A107" s="14" t="s">
        <v>169</v>
      </c>
      <c r="B107" s="15"/>
      <c r="C107" s="16" t="n">
        <f aca="false">C104 - C106</f>
        <v>5200</v>
      </c>
      <c r="D107" s="16" t="n">
        <f aca="false">D104 - D106</f>
        <v>8700</v>
      </c>
      <c r="E107" s="16" t="n">
        <f aca="false">E104 - E106</f>
        <v>18200</v>
      </c>
      <c r="F107" s="16" t="n">
        <f aca="false">F104 - F106</f>
        <v>28700</v>
      </c>
      <c r="G107" s="16" t="n">
        <f aca="false">G104 - G106</f>
        <v>43200</v>
      </c>
      <c r="H107" s="16" t="n">
        <f aca="false">H104 - H106</f>
        <v>38600</v>
      </c>
      <c r="I107" s="16" t="n">
        <f aca="false">I104 - I106</f>
        <v>42057.1428571429</v>
      </c>
      <c r="J107" s="15"/>
      <c r="K107" s="15"/>
      <c r="L107" s="17" t="s">
        <v>113</v>
      </c>
      <c r="M107" s="17" t="s">
        <v>170</v>
      </c>
    </row>
    <row r="109" customFormat="false" ht="19.5" hidden="false" customHeight="true" outlineLevel="0" collapsed="false">
      <c r="A109" s="7" t="s">
        <v>171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customFormat="false" ht="15" hidden="false" customHeight="false" outlineLevel="0" collapsed="false">
      <c r="A110" s="3" t="s">
        <v>172</v>
      </c>
      <c r="B110" s="5" t="n">
        <v>75</v>
      </c>
      <c r="L110" s="6" t="s">
        <v>173</v>
      </c>
    </row>
    <row r="111" customFormat="false" ht="15" hidden="false" customHeight="false" outlineLevel="0" collapsed="false">
      <c r="A111" s="3" t="s">
        <v>174</v>
      </c>
      <c r="B111" s="5" t="n">
        <v>45</v>
      </c>
      <c r="L111" s="6" t="s">
        <v>173</v>
      </c>
    </row>
    <row r="112" customFormat="false" ht="15" hidden="false" customHeight="false" outlineLevel="0" collapsed="false">
      <c r="A112" s="3" t="s">
        <v>175</v>
      </c>
      <c r="B112" s="5" t="n">
        <v>45</v>
      </c>
      <c r="L112" s="6" t="s">
        <v>173</v>
      </c>
    </row>
    <row r="113" customFormat="false" ht="15" hidden="false" customHeight="false" outlineLevel="0" collapsed="false">
      <c r="A113" s="3" t="s">
        <v>176</v>
      </c>
      <c r="B113" s="10" t="n">
        <v>0.03</v>
      </c>
      <c r="L113" s="6" t="s">
        <v>75</v>
      </c>
      <c r="M113" s="6" t="s">
        <v>177</v>
      </c>
    </row>
    <row r="115" customFormat="false" ht="19.5" hidden="false" customHeight="true" outlineLevel="0" collapsed="false">
      <c r="A115" s="7" t="s">
        <v>178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customFormat="false" ht="15" hidden="false" customHeight="false" outlineLevel="0" collapsed="false">
      <c r="A116" s="3" t="s">
        <v>179</v>
      </c>
      <c r="B116" s="10" t="n">
        <v>0.25</v>
      </c>
      <c r="L116" s="6" t="s">
        <v>75</v>
      </c>
      <c r="M116" s="6" t="s">
        <v>180</v>
      </c>
    </row>
    <row r="117" customFormat="false" ht="15" hidden="false" customHeight="false" outlineLevel="0" collapsed="false">
      <c r="A117" s="3" t="s">
        <v>181</v>
      </c>
      <c r="B117" s="5" t="n">
        <v>1</v>
      </c>
    </row>
    <row r="118" customFormat="false" ht="15" hidden="false" customHeight="false" outlineLevel="0" collapsed="false">
      <c r="A118" s="3" t="s">
        <v>182</v>
      </c>
      <c r="B118" s="10" t="n">
        <v>0.186</v>
      </c>
      <c r="L118" s="6" t="s">
        <v>183</v>
      </c>
      <c r="M118" s="6" t="s">
        <v>184</v>
      </c>
    </row>
    <row r="119" customFormat="false" ht="15" hidden="false" customHeight="false" outlineLevel="0" collapsed="false">
      <c r="A119" s="3" t="s">
        <v>185</v>
      </c>
      <c r="B119" s="10" t="n">
        <v>0.6</v>
      </c>
      <c r="L119" s="6" t="s">
        <v>75</v>
      </c>
    </row>
    <row r="120" customFormat="false" ht="15" hidden="false" customHeight="false" outlineLevel="0" collapsed="false">
      <c r="A120" s="3" t="s">
        <v>186</v>
      </c>
      <c r="B120" s="10" t="n">
        <v>0.4</v>
      </c>
      <c r="L120" s="6" t="s">
        <v>75</v>
      </c>
    </row>
    <row r="121" customFormat="false" ht="15" hidden="false" customHeight="false" outlineLevel="0" collapsed="false">
      <c r="A121" s="3" t="s">
        <v>187</v>
      </c>
      <c r="B121" s="10" t="n">
        <v>0.3</v>
      </c>
      <c r="L121" s="6" t="s">
        <v>75</v>
      </c>
    </row>
    <row r="122" customFormat="false" ht="15" hidden="false" customHeight="false" outlineLevel="0" collapsed="false">
      <c r="A122" s="3" t="s">
        <v>188</v>
      </c>
      <c r="B122" s="10" t="n">
        <v>0.5</v>
      </c>
      <c r="L122" s="6" t="s">
        <v>75</v>
      </c>
    </row>
    <row r="123" customFormat="false" ht="15" hidden="false" customHeight="false" outlineLevel="0" collapsed="false">
      <c r="A123" s="3" t="s">
        <v>189</v>
      </c>
      <c r="B123" s="10" t="n">
        <v>1</v>
      </c>
      <c r="L123" s="6" t="s">
        <v>75</v>
      </c>
    </row>
    <row r="124" customFormat="false" ht="15" hidden="false" customHeight="false" outlineLevel="0" collapsed="false">
      <c r="A124" s="3" t="s">
        <v>190</v>
      </c>
      <c r="B124" s="10" t="n">
        <v>0.03</v>
      </c>
      <c r="L124" s="6" t="s">
        <v>191</v>
      </c>
      <c r="M124" s="6" t="s">
        <v>192</v>
      </c>
    </row>
    <row r="125" customFormat="false" ht="19.5" hidden="false" customHeight="true" outlineLevel="0" collapsed="false">
      <c r="A125" s="7" t="s">
        <v>193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customFormat="false" ht="15" hidden="false" customHeight="false" outlineLevel="0" collapsed="false">
      <c r="A126" s="3" t="s">
        <v>194</v>
      </c>
      <c r="C126" s="11" t="n">
        <v>1000000</v>
      </c>
      <c r="D126" s="11" t="n">
        <v>0</v>
      </c>
      <c r="E126" s="11" t="n">
        <v>1750000</v>
      </c>
      <c r="F126" s="11" t="n">
        <v>0</v>
      </c>
      <c r="G126" s="11" t="n">
        <v>1450000</v>
      </c>
      <c r="H126" s="11" t="n">
        <v>0</v>
      </c>
      <c r="I126" s="11" t="n">
        <v>0</v>
      </c>
      <c r="L126" s="6" t="s">
        <v>113</v>
      </c>
      <c r="M126" s="6" t="s">
        <v>195</v>
      </c>
    </row>
    <row r="127" customFormat="false" ht="15" hidden="false" customHeight="false" outlineLevel="0" collapsed="false">
      <c r="A127" s="3" t="s">
        <v>196</v>
      </c>
      <c r="B127" s="11" t="n">
        <v>100000</v>
      </c>
      <c r="L127" s="6" t="s">
        <v>113</v>
      </c>
    </row>
  </sheetData>
  <mergeCells count="17">
    <mergeCell ref="A1:M1"/>
    <mergeCell ref="A2:M2"/>
    <mergeCell ref="A9:M9"/>
    <mergeCell ref="A14:M14"/>
    <mergeCell ref="A21:M21"/>
    <mergeCell ref="A24:M24"/>
    <mergeCell ref="A34:M34"/>
    <mergeCell ref="A45:M45"/>
    <mergeCell ref="A52:M52"/>
    <mergeCell ref="A71:M71"/>
    <mergeCell ref="A79:M79"/>
    <mergeCell ref="A82:M82"/>
    <mergeCell ref="A85:M85"/>
    <mergeCell ref="A90:M90"/>
    <mergeCell ref="A109:M109"/>
    <mergeCell ref="A115:M115"/>
    <mergeCell ref="A125:M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2" min="12" style="0" width="16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C4" s="4" t="str">
        <f aca="false">Assumptions!C4</f>
        <v>Y1</v>
      </c>
      <c r="D4" s="4" t="str">
        <f aca="false">Assumptions!D4</f>
        <v>Y2</v>
      </c>
      <c r="E4" s="4" t="str">
        <f aca="false">Assumptions!E4</f>
        <v>Y3</v>
      </c>
      <c r="F4" s="4" t="str">
        <f aca="false">Assumptions!F4</f>
        <v>Y4</v>
      </c>
      <c r="G4" s="4" t="str">
        <f aca="false">Assumptions!G4</f>
        <v>Y5</v>
      </c>
      <c r="H4" s="4" t="str">
        <f aca="false">Assumptions!H4</f>
        <v>Y6</v>
      </c>
      <c r="I4" s="4" t="str">
        <f aca="false">Assumptions!I4</f>
        <v>Y7</v>
      </c>
    </row>
    <row r="5" customFormat="false" ht="15" hidden="false" customHeight="false" outlineLevel="0" collapsed="false">
      <c r="A5" s="3" t="s">
        <v>10</v>
      </c>
      <c r="C5" s="26" t="n">
        <f aca="false">Assumptions!C5</f>
        <v>1</v>
      </c>
      <c r="D5" s="26" t="n">
        <f aca="false">Assumptions!D5</f>
        <v>2</v>
      </c>
      <c r="E5" s="26" t="n">
        <f aca="false">Assumptions!E5</f>
        <v>3</v>
      </c>
      <c r="F5" s="26" t="n">
        <f aca="false">Assumptions!F5</f>
        <v>4</v>
      </c>
      <c r="G5" s="26" t="n">
        <f aca="false">Assumptions!G5</f>
        <v>5</v>
      </c>
      <c r="H5" s="26" t="n">
        <f aca="false">Assumptions!H5</f>
        <v>6</v>
      </c>
      <c r="I5" s="26" t="n">
        <f aca="false">Assumptions!I5</f>
        <v>7</v>
      </c>
    </row>
    <row r="6" customFormat="false" ht="15" hidden="false" customHeight="false" outlineLevel="0" collapsed="false">
      <c r="A6" s="3" t="s">
        <v>13</v>
      </c>
      <c r="C6" s="26" t="n">
        <f aca="false">Assumptions!C7</f>
        <v>1</v>
      </c>
      <c r="D6" s="26" t="n">
        <f aca="false">Assumptions!D7</f>
        <v>1</v>
      </c>
      <c r="E6" s="26" t="n">
        <f aca="false">Assumptions!E7</f>
        <v>2</v>
      </c>
      <c r="F6" s="26" t="n">
        <f aca="false">Assumptions!F7</f>
        <v>2</v>
      </c>
      <c r="G6" s="26" t="n">
        <f aca="false">Assumptions!G7</f>
        <v>3</v>
      </c>
      <c r="H6" s="26" t="n">
        <f aca="false">Assumptions!H7</f>
        <v>3</v>
      </c>
      <c r="I6" s="26" t="n">
        <f aca="false">Assumptions!I7</f>
        <v>3</v>
      </c>
    </row>
    <row r="8" customFormat="false" ht="19.5" hidden="false" customHeight="true" outlineLevel="0" collapsed="false">
      <c r="A8" s="7" t="s">
        <v>199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3" t="s">
        <v>36</v>
      </c>
      <c r="C9" s="27" t="n">
        <f aca="false">Assumptions!C22</f>
        <v>300</v>
      </c>
      <c r="D9" s="27" t="n">
        <f aca="false">Assumptions!D22</f>
        <v>300</v>
      </c>
      <c r="E9" s="27" t="n">
        <f aca="false">Assumptions!E22</f>
        <v>300</v>
      </c>
      <c r="F9" s="27" t="n">
        <f aca="false">Assumptions!F22</f>
        <v>300</v>
      </c>
      <c r="G9" s="27" t="n">
        <f aca="false">Assumptions!G22</f>
        <v>300</v>
      </c>
      <c r="H9" s="27" t="n">
        <f aca="false">Assumptions!H22</f>
        <v>300</v>
      </c>
      <c r="I9" s="27" t="n">
        <f aca="false">Assumptions!I22</f>
        <v>300</v>
      </c>
      <c r="L9" s="6" t="s">
        <v>37</v>
      </c>
    </row>
    <row r="10" customFormat="false" ht="15" hidden="false" customHeight="false" outlineLevel="0" collapsed="false">
      <c r="A10" s="3" t="s">
        <v>200</v>
      </c>
      <c r="C10" s="27" t="n">
        <f aca="false">Assumptions!C49</f>
        <v>340</v>
      </c>
      <c r="D10" s="27" t="n">
        <f aca="false">Assumptions!D49</f>
        <v>340</v>
      </c>
      <c r="E10" s="27" t="n">
        <f aca="false">Assumptions!E49</f>
        <v>285</v>
      </c>
      <c r="F10" s="27" t="n">
        <f aca="false">Assumptions!F49</f>
        <v>285</v>
      </c>
      <c r="G10" s="27" t="n">
        <f aca="false">Assumptions!G49</f>
        <v>174</v>
      </c>
      <c r="H10" s="27" t="n">
        <f aca="false">Assumptions!H49</f>
        <v>174</v>
      </c>
      <c r="I10" s="27" t="n">
        <f aca="false">Assumptions!I49</f>
        <v>174</v>
      </c>
      <c r="L10" s="6" t="s">
        <v>37</v>
      </c>
    </row>
    <row r="11" customFormat="false" ht="15" hidden="false" customHeight="false" outlineLevel="0" collapsed="false">
      <c r="A11" s="14" t="s">
        <v>201</v>
      </c>
      <c r="B11" s="15"/>
      <c r="C11" s="16" t="n">
        <f aca="false">C9 - C10</f>
        <v>-40</v>
      </c>
      <c r="D11" s="16" t="n">
        <f aca="false">D9 - D10</f>
        <v>-40</v>
      </c>
      <c r="E11" s="16" t="n">
        <f aca="false">E9 - E10</f>
        <v>15</v>
      </c>
      <c r="F11" s="16" t="n">
        <f aca="false">F9 - F10</f>
        <v>15</v>
      </c>
      <c r="G11" s="16" t="n">
        <f aca="false">G9 - G10</f>
        <v>126</v>
      </c>
      <c r="H11" s="16" t="n">
        <f aca="false">H9 - H10</f>
        <v>126</v>
      </c>
      <c r="I11" s="16" t="n">
        <f aca="false">I9 - I10</f>
        <v>126</v>
      </c>
      <c r="J11" s="15"/>
      <c r="K11" s="15"/>
      <c r="L11" s="17" t="s">
        <v>37</v>
      </c>
      <c r="M11" s="15"/>
    </row>
    <row r="12" customFormat="false" ht="15" hidden="false" customHeight="false" outlineLevel="0" collapsed="false">
      <c r="A12" s="3" t="s">
        <v>202</v>
      </c>
      <c r="C12" s="28" t="n">
        <f aca="false">IFERROR(C11/C9, 0)</f>
        <v>-0.133333333333333</v>
      </c>
      <c r="D12" s="28" t="n">
        <f aca="false">IFERROR(D11/D9, 0)</f>
        <v>-0.133333333333333</v>
      </c>
      <c r="E12" s="28" t="n">
        <f aca="false">IFERROR(E11/E9, 0)</f>
        <v>0.05</v>
      </c>
      <c r="F12" s="28" t="n">
        <f aca="false">IFERROR(F11/F9, 0)</f>
        <v>0.05</v>
      </c>
      <c r="G12" s="28" t="n">
        <f aca="false">IFERROR(G11/G9, 0)</f>
        <v>0.42</v>
      </c>
      <c r="H12" s="28" t="n">
        <f aca="false">IFERROR(H11/H9, 0)</f>
        <v>0.42</v>
      </c>
      <c r="I12" s="28" t="n">
        <f aca="false">IFERROR(I11/I9, 0)</f>
        <v>0.42</v>
      </c>
      <c r="L12" s="6" t="s">
        <v>75</v>
      </c>
    </row>
    <row r="14" customFormat="false" ht="19.5" hidden="false" customHeight="true" outlineLevel="0" collapsed="false">
      <c r="A14" s="7" t="s">
        <v>203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5" hidden="false" customHeight="false" outlineLevel="0" collapsed="false">
      <c r="A15" s="3" t="s">
        <v>204</v>
      </c>
      <c r="C15" s="27" t="n">
        <f aca="false">Assumptions!C32</f>
        <v>600</v>
      </c>
      <c r="D15" s="27" t="n">
        <f aca="false">Assumptions!D32</f>
        <v>600</v>
      </c>
      <c r="E15" s="27" t="n">
        <f aca="false">Assumptions!E32</f>
        <v>600</v>
      </c>
      <c r="F15" s="27" t="n">
        <f aca="false">Assumptions!F32</f>
        <v>600</v>
      </c>
      <c r="G15" s="27" t="n">
        <f aca="false">Assumptions!G32</f>
        <v>600</v>
      </c>
      <c r="H15" s="27" t="n">
        <f aca="false">Assumptions!H32</f>
        <v>600</v>
      </c>
      <c r="I15" s="27" t="n">
        <f aca="false">Assumptions!I32</f>
        <v>600</v>
      </c>
      <c r="L15" s="6" t="s">
        <v>60</v>
      </c>
    </row>
    <row r="16" customFormat="false" ht="15" hidden="false" customHeight="false" outlineLevel="0" collapsed="false">
      <c r="A16" s="3" t="s">
        <v>205</v>
      </c>
      <c r="C16" s="29" t="n">
        <f aca="false">Assumptions!$B$50</f>
        <v>0.15</v>
      </c>
      <c r="D16" s="29" t="n">
        <f aca="false">Assumptions!$B$50</f>
        <v>0.15</v>
      </c>
      <c r="E16" s="29" t="n">
        <f aca="false">Assumptions!$B$50</f>
        <v>0.15</v>
      </c>
      <c r="F16" s="29" t="n">
        <f aca="false">Assumptions!$B$50</f>
        <v>0.15</v>
      </c>
      <c r="G16" s="29" t="n">
        <f aca="false">Assumptions!$B$50</f>
        <v>0.15</v>
      </c>
      <c r="H16" s="29" t="n">
        <f aca="false">Assumptions!$B$50</f>
        <v>0.15</v>
      </c>
      <c r="I16" s="29" t="n">
        <f aca="false">Assumptions!$B$50</f>
        <v>0.15</v>
      </c>
      <c r="L16" s="6" t="s">
        <v>75</v>
      </c>
    </row>
    <row r="17" customFormat="false" ht="15" hidden="false" customHeight="false" outlineLevel="0" collapsed="false">
      <c r="A17" s="14" t="s">
        <v>206</v>
      </c>
      <c r="B17" s="15"/>
      <c r="C17" s="16" t="n">
        <f aca="false">C15 * (1 - C16)</f>
        <v>510</v>
      </c>
      <c r="D17" s="16" t="n">
        <f aca="false">D15 * (1 - D16)</f>
        <v>510</v>
      </c>
      <c r="E17" s="16" t="n">
        <f aca="false">E15 * (1 - E16)</f>
        <v>510</v>
      </c>
      <c r="F17" s="16" t="n">
        <f aca="false">F15 * (1 - F16)</f>
        <v>510</v>
      </c>
      <c r="G17" s="16" t="n">
        <f aca="false">G15 * (1 - G16)</f>
        <v>510</v>
      </c>
      <c r="H17" s="16" t="n">
        <f aca="false">H15 * (1 - H16)</f>
        <v>510</v>
      </c>
      <c r="I17" s="16" t="n">
        <f aca="false">I15 * (1 - I16)</f>
        <v>510</v>
      </c>
      <c r="J17" s="15"/>
      <c r="K17" s="15"/>
      <c r="L17" s="17" t="s">
        <v>60</v>
      </c>
      <c r="M17" s="15"/>
    </row>
    <row r="18" customFormat="false" ht="15" hidden="false" customHeight="false" outlineLevel="0" collapsed="false">
      <c r="A18" s="3" t="s">
        <v>207</v>
      </c>
      <c r="C18" s="28" t="n">
        <f aca="false">IFERROR(C17/C15, 0)</f>
        <v>0.85</v>
      </c>
      <c r="D18" s="28" t="n">
        <f aca="false">IFERROR(D17/D15, 0)</f>
        <v>0.85</v>
      </c>
      <c r="E18" s="28" t="n">
        <f aca="false">IFERROR(E17/E15, 0)</f>
        <v>0.85</v>
      </c>
      <c r="F18" s="28" t="n">
        <f aca="false">IFERROR(F17/F15, 0)</f>
        <v>0.85</v>
      </c>
      <c r="G18" s="28" t="n">
        <f aca="false">IFERROR(G17/G15, 0)</f>
        <v>0.85</v>
      </c>
      <c r="H18" s="28" t="n">
        <f aca="false">IFERROR(H17/H15, 0)</f>
        <v>0.85</v>
      </c>
      <c r="I18" s="28" t="n">
        <f aca="false">IFERROR(I17/I15, 0)</f>
        <v>0.85</v>
      </c>
      <c r="L18" s="6" t="s">
        <v>75</v>
      </c>
    </row>
    <row r="20" customFormat="false" ht="19.5" hidden="false" customHeight="true" outlineLevel="0" collapsed="false">
      <c r="A20" s="7" t="s">
        <v>208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false" outlineLevel="0" collapsed="false">
      <c r="A21" s="3" t="s">
        <v>209</v>
      </c>
      <c r="C21" s="30" t="n">
        <f aca="false">Assumptions!$B$38</f>
        <v>0</v>
      </c>
      <c r="D21" s="30" t="n">
        <f aca="false">Assumptions!$B$38</f>
        <v>0</v>
      </c>
      <c r="E21" s="30" t="n">
        <f aca="false">Assumptions!$B$38</f>
        <v>0</v>
      </c>
      <c r="F21" s="30" t="n">
        <f aca="false">Assumptions!$B$38</f>
        <v>0</v>
      </c>
      <c r="G21" s="30" t="n">
        <f aca="false">Assumptions!$B$38</f>
        <v>0</v>
      </c>
      <c r="H21" s="30" t="n">
        <f aca="false">Assumptions!$B$38</f>
        <v>0</v>
      </c>
      <c r="I21" s="30" t="n">
        <f aca="false">Assumptions!$B$38</f>
        <v>0</v>
      </c>
    </row>
    <row r="22" customFormat="false" ht="15" hidden="false" customHeight="false" outlineLevel="0" collapsed="false">
      <c r="A22" s="3" t="s">
        <v>210</v>
      </c>
      <c r="C22" s="19" t="n">
        <f aca="false">C21 * Assumptions!$B$39</f>
        <v>0</v>
      </c>
      <c r="D22" s="19" t="n">
        <f aca="false">D21 * Assumptions!$B$39</f>
        <v>0</v>
      </c>
      <c r="E22" s="19" t="n">
        <f aca="false">E21 * Assumptions!$B$39</f>
        <v>0</v>
      </c>
      <c r="F22" s="19" t="n">
        <f aca="false">F21 * Assumptions!$B$39</f>
        <v>0</v>
      </c>
      <c r="G22" s="19" t="n">
        <f aca="false">G21 * Assumptions!$B$39</f>
        <v>0</v>
      </c>
      <c r="H22" s="19" t="n">
        <f aca="false">H21 * Assumptions!$B$39</f>
        <v>0</v>
      </c>
      <c r="I22" s="19" t="n">
        <f aca="false">I21 * Assumptions!$B$39</f>
        <v>0</v>
      </c>
      <c r="L22" s="6" t="s">
        <v>60</v>
      </c>
    </row>
    <row r="23" customFormat="false" ht="15" hidden="false" customHeight="false" outlineLevel="0" collapsed="false">
      <c r="A23" s="3" t="s">
        <v>74</v>
      </c>
      <c r="C23" s="29" t="n">
        <f aca="false">Assumptions!$B$40</f>
        <v>0.6</v>
      </c>
      <c r="D23" s="29" t="n">
        <f aca="false">Assumptions!$B$40</f>
        <v>0.6</v>
      </c>
      <c r="E23" s="29" t="n">
        <f aca="false">Assumptions!$B$40</f>
        <v>0.6</v>
      </c>
      <c r="F23" s="29" t="n">
        <f aca="false">Assumptions!$B$40</f>
        <v>0.6</v>
      </c>
      <c r="G23" s="29" t="n">
        <f aca="false">Assumptions!$B$40</f>
        <v>0.6</v>
      </c>
      <c r="H23" s="29" t="n">
        <f aca="false">Assumptions!$B$40</f>
        <v>0.6</v>
      </c>
      <c r="I23" s="29" t="n">
        <f aca="false">Assumptions!$B$40</f>
        <v>0.6</v>
      </c>
      <c r="L23" s="6" t="s">
        <v>75</v>
      </c>
    </row>
    <row r="24" customFormat="false" ht="15" hidden="false" customHeight="false" outlineLevel="0" collapsed="false">
      <c r="A24" s="14" t="s">
        <v>211</v>
      </c>
      <c r="B24" s="15"/>
      <c r="C24" s="16" t="n">
        <f aca="false">C22 * C23</f>
        <v>0</v>
      </c>
      <c r="D24" s="16" t="n">
        <f aca="false">D22 * D23</f>
        <v>0</v>
      </c>
      <c r="E24" s="16" t="n">
        <f aca="false">E22 * E23</f>
        <v>0</v>
      </c>
      <c r="F24" s="16" t="n">
        <f aca="false">F22 * F23</f>
        <v>0</v>
      </c>
      <c r="G24" s="16" t="n">
        <f aca="false">G22 * G23</f>
        <v>0</v>
      </c>
      <c r="H24" s="16" t="n">
        <f aca="false">H22 * H23</f>
        <v>0</v>
      </c>
      <c r="I24" s="16" t="n">
        <f aca="false">I22 * I23</f>
        <v>0</v>
      </c>
      <c r="J24" s="15"/>
      <c r="K24" s="15"/>
      <c r="L24" s="17" t="s">
        <v>60</v>
      </c>
      <c r="M24" s="15"/>
    </row>
    <row r="26" customFormat="false" ht="19.5" hidden="false" customHeight="true" outlineLevel="0" collapsed="false">
      <c r="A26" s="7" t="s">
        <v>212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customFormat="false" ht="15" hidden="false" customHeight="false" outlineLevel="0" collapsed="false">
      <c r="A27" s="3" t="s">
        <v>213</v>
      </c>
      <c r="C27" s="30" t="n">
        <f aca="false">Assumptions!$B$41</f>
        <v>0</v>
      </c>
      <c r="D27" s="30" t="n">
        <f aca="false">Assumptions!$B$41</f>
        <v>0</v>
      </c>
      <c r="E27" s="30" t="n">
        <f aca="false">Assumptions!$B$41</f>
        <v>0</v>
      </c>
      <c r="F27" s="30" t="n">
        <f aca="false">Assumptions!$B$41</f>
        <v>0</v>
      </c>
      <c r="G27" s="30" t="n">
        <f aca="false">Assumptions!$B$41</f>
        <v>0</v>
      </c>
      <c r="H27" s="30" t="n">
        <f aca="false">Assumptions!$B$41</f>
        <v>0</v>
      </c>
      <c r="I27" s="30" t="n">
        <f aca="false">Assumptions!$B$41</f>
        <v>0</v>
      </c>
    </row>
    <row r="28" customFormat="false" ht="15" hidden="false" customHeight="false" outlineLevel="0" collapsed="false">
      <c r="A28" s="3" t="s">
        <v>214</v>
      </c>
      <c r="C28" s="29" t="n">
        <f aca="false">Assumptions!$B$42</f>
        <v>0.15</v>
      </c>
      <c r="D28" s="29" t="n">
        <f aca="false">Assumptions!$B$42</f>
        <v>0.15</v>
      </c>
      <c r="E28" s="29" t="n">
        <f aca="false">Assumptions!$B$42</f>
        <v>0.15</v>
      </c>
      <c r="F28" s="29" t="n">
        <f aca="false">Assumptions!$B$42</f>
        <v>0.15</v>
      </c>
      <c r="G28" s="29" t="n">
        <f aca="false">Assumptions!$B$42</f>
        <v>0.15</v>
      </c>
      <c r="H28" s="29" t="n">
        <f aca="false">Assumptions!$B$42</f>
        <v>0.15</v>
      </c>
      <c r="I28" s="29" t="n">
        <f aca="false">Assumptions!$B$42</f>
        <v>0.15</v>
      </c>
      <c r="L28" s="6" t="s">
        <v>75</v>
      </c>
    </row>
    <row r="29" customFormat="false" ht="15" hidden="false" customHeight="false" outlineLevel="0" collapsed="false">
      <c r="A29" s="3" t="s">
        <v>215</v>
      </c>
      <c r="C29" s="27" t="n">
        <f aca="false">Assumptions!$B$43</f>
        <v>45</v>
      </c>
      <c r="D29" s="27" t="n">
        <f aca="false">Assumptions!$B$43</f>
        <v>45</v>
      </c>
      <c r="E29" s="27" t="n">
        <f aca="false">Assumptions!$B$43</f>
        <v>45</v>
      </c>
      <c r="F29" s="27" t="n">
        <f aca="false">Assumptions!$B$43</f>
        <v>45</v>
      </c>
      <c r="G29" s="27" t="n">
        <f aca="false">Assumptions!$B$43</f>
        <v>45</v>
      </c>
      <c r="H29" s="27" t="n">
        <f aca="false">Assumptions!$B$43</f>
        <v>45</v>
      </c>
      <c r="I29" s="27" t="n">
        <f aca="false">Assumptions!$B$43</f>
        <v>45</v>
      </c>
      <c r="L29" s="6" t="s">
        <v>113</v>
      </c>
    </row>
    <row r="30" customFormat="false" ht="15" hidden="false" customHeight="false" outlineLevel="0" collapsed="false">
      <c r="A30" s="3" t="s">
        <v>216</v>
      </c>
      <c r="C30" s="29" t="n">
        <f aca="false">Assumptions!$B$44</f>
        <v>0.45</v>
      </c>
      <c r="D30" s="29" t="n">
        <f aca="false">Assumptions!$B$44</f>
        <v>0.45</v>
      </c>
      <c r="E30" s="29" t="n">
        <f aca="false">Assumptions!$B$44</f>
        <v>0.45</v>
      </c>
      <c r="F30" s="29" t="n">
        <f aca="false">Assumptions!$B$44</f>
        <v>0.45</v>
      </c>
      <c r="G30" s="29" t="n">
        <f aca="false">Assumptions!$B$44</f>
        <v>0.45</v>
      </c>
      <c r="H30" s="29" t="n">
        <f aca="false">Assumptions!$B$44</f>
        <v>0.45</v>
      </c>
      <c r="I30" s="29" t="n">
        <f aca="false">Assumptions!$B$44</f>
        <v>0.45</v>
      </c>
      <c r="L30" s="6" t="s">
        <v>75</v>
      </c>
    </row>
    <row r="31" customFormat="false" ht="15" hidden="false" customHeight="false" outlineLevel="0" collapsed="false">
      <c r="A31" s="14" t="s">
        <v>217</v>
      </c>
      <c r="B31" s="15"/>
      <c r="C31" s="16" t="n">
        <f aca="false">C27 * C28 * C29 * C30</f>
        <v>0</v>
      </c>
      <c r="D31" s="16" t="n">
        <f aca="false">D27 * D28 * D29 * D30</f>
        <v>0</v>
      </c>
      <c r="E31" s="16" t="n">
        <f aca="false">E27 * E28 * E29 * E30</f>
        <v>0</v>
      </c>
      <c r="F31" s="16" t="n">
        <f aca="false">F27 * F28 * F29 * F30</f>
        <v>0</v>
      </c>
      <c r="G31" s="16" t="n">
        <f aca="false">G27 * G28 * G29 * G30</f>
        <v>0</v>
      </c>
      <c r="H31" s="16" t="n">
        <f aca="false">H27 * H28 * H29 * H30</f>
        <v>0</v>
      </c>
      <c r="I31" s="16" t="n">
        <f aca="false">I27 * I28 * I29 * I30</f>
        <v>0</v>
      </c>
      <c r="J31" s="15"/>
      <c r="K31" s="15"/>
      <c r="L31" s="17" t="s">
        <v>37</v>
      </c>
      <c r="M31" s="15"/>
    </row>
    <row r="33" customFormat="false" ht="19.5" hidden="false" customHeight="true" outlineLevel="0" collapsed="false">
      <c r="A33" s="7" t="s">
        <v>218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customFormat="false" ht="15" hidden="false" customHeight="false" outlineLevel="0" collapsed="false">
      <c r="A34" s="3" t="s">
        <v>219</v>
      </c>
      <c r="C34" s="19" t="n">
        <f aca="false">C15 + C22</f>
        <v>600</v>
      </c>
      <c r="D34" s="19" t="n">
        <f aca="false">D15 + D22</f>
        <v>600</v>
      </c>
      <c r="E34" s="19" t="n">
        <f aca="false">E15 + E22</f>
        <v>600</v>
      </c>
      <c r="F34" s="19" t="n">
        <f aca="false">F15 + F22</f>
        <v>600</v>
      </c>
      <c r="G34" s="19" t="n">
        <f aca="false">G15 + G22</f>
        <v>600</v>
      </c>
      <c r="H34" s="19" t="n">
        <f aca="false">H15 + H22</f>
        <v>600</v>
      </c>
      <c r="I34" s="19" t="n">
        <f aca="false">I15 + I22</f>
        <v>600</v>
      </c>
      <c r="L34" s="6" t="s">
        <v>60</v>
      </c>
      <c r="M34" s="6" t="s">
        <v>220</v>
      </c>
    </row>
    <row r="35" customFormat="false" ht="15" hidden="false" customHeight="false" outlineLevel="0" collapsed="false">
      <c r="A35" s="14" t="s">
        <v>221</v>
      </c>
      <c r="B35" s="15"/>
      <c r="C35" s="16" t="n">
        <f aca="false">C17 + C24</f>
        <v>510</v>
      </c>
      <c r="D35" s="16" t="n">
        <f aca="false">D17 + D24</f>
        <v>510</v>
      </c>
      <c r="E35" s="16" t="n">
        <f aca="false">E17 + E24</f>
        <v>510</v>
      </c>
      <c r="F35" s="16" t="n">
        <f aca="false">F17 + F24</f>
        <v>510</v>
      </c>
      <c r="G35" s="16" t="n">
        <f aca="false">G17 + G24</f>
        <v>510</v>
      </c>
      <c r="H35" s="16" t="n">
        <f aca="false">H17 + H24</f>
        <v>510</v>
      </c>
      <c r="I35" s="16" t="n">
        <f aca="false">I17 + I24</f>
        <v>510</v>
      </c>
      <c r="J35" s="15"/>
      <c r="K35" s="15"/>
      <c r="L35" s="17" t="s">
        <v>60</v>
      </c>
      <c r="M35" s="17" t="s">
        <v>222</v>
      </c>
    </row>
    <row r="37" customFormat="false" ht="19.5" hidden="false" customHeight="true" outlineLevel="0" collapsed="false">
      <c r="A37" s="7" t="s">
        <v>223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customFormat="false" ht="15" hidden="false" customHeight="false" outlineLevel="0" collapsed="false">
      <c r="A38" s="3" t="s">
        <v>26</v>
      </c>
      <c r="C38" s="29" t="n">
        <f aca="false">Assumptions!$B$16</f>
        <v>0.1</v>
      </c>
      <c r="D38" s="29" t="n">
        <f aca="false">Assumptions!$B$16</f>
        <v>0.1</v>
      </c>
      <c r="E38" s="29" t="n">
        <f aca="false">Assumptions!$B$16</f>
        <v>0.1</v>
      </c>
      <c r="F38" s="29" t="n">
        <f aca="false">Assumptions!$B$16</f>
        <v>0.1</v>
      </c>
      <c r="G38" s="29" t="n">
        <f aca="false">Assumptions!$B$16</f>
        <v>0.1</v>
      </c>
      <c r="H38" s="29" t="n">
        <f aca="false">Assumptions!$B$16</f>
        <v>0.1</v>
      </c>
      <c r="I38" s="29" t="n">
        <f aca="false">Assumptions!$B$16</f>
        <v>0.1</v>
      </c>
      <c r="L38" s="6" t="s">
        <v>75</v>
      </c>
    </row>
    <row r="39" customFormat="false" ht="15" hidden="false" customHeight="false" outlineLevel="0" collapsed="false">
      <c r="A39" s="3" t="s">
        <v>224</v>
      </c>
      <c r="C39" s="24" t="n">
        <f aca="false">IFERROR(1/C38, 0)</f>
        <v>10</v>
      </c>
      <c r="D39" s="24" t="n">
        <f aca="false">IFERROR(1/D38, 0)</f>
        <v>10</v>
      </c>
      <c r="E39" s="24" t="n">
        <f aca="false">IFERROR(1/E38, 0)</f>
        <v>10</v>
      </c>
      <c r="F39" s="24" t="n">
        <f aca="false">IFERROR(1/F38, 0)</f>
        <v>10</v>
      </c>
      <c r="G39" s="24" t="n">
        <f aca="false">IFERROR(1/G38, 0)</f>
        <v>10</v>
      </c>
      <c r="H39" s="24" t="n">
        <f aca="false">IFERROR(1/H38, 0)</f>
        <v>10</v>
      </c>
      <c r="I39" s="24" t="n">
        <f aca="false">IFERROR(1/I38, 0)</f>
        <v>10</v>
      </c>
      <c r="L39" s="6" t="s">
        <v>225</v>
      </c>
      <c r="M39" s="6" t="s">
        <v>226</v>
      </c>
    </row>
    <row r="40" customFormat="false" ht="15" hidden="false" customHeight="false" outlineLevel="0" collapsed="false">
      <c r="A40" s="3" t="s">
        <v>227</v>
      </c>
      <c r="C40" s="31" t="n">
        <f aca="false">1 + (1-C38) + (1-C38)^2</f>
        <v>2.71</v>
      </c>
      <c r="D40" s="31" t="n">
        <f aca="false">1 + (1-D38) + (1-D38)^2</f>
        <v>2.71</v>
      </c>
      <c r="E40" s="31" t="n">
        <f aca="false">1 + (1-E38) + (1-E38)^2</f>
        <v>2.71</v>
      </c>
      <c r="F40" s="31" t="n">
        <f aca="false">1 + (1-F38) + (1-F38)^2</f>
        <v>2.71</v>
      </c>
      <c r="G40" s="31" t="n">
        <f aca="false">1 + (1-G38) + (1-G38)^2</f>
        <v>2.71</v>
      </c>
      <c r="H40" s="31" t="n">
        <f aca="false">1 + (1-H38) + (1-H38)^2</f>
        <v>2.71</v>
      </c>
      <c r="I40" s="31" t="n">
        <f aca="false">1 + (1-I38) + (1-I38)^2</f>
        <v>2.71</v>
      </c>
      <c r="L40" s="6" t="s">
        <v>228</v>
      </c>
      <c r="M40" s="6" t="s">
        <v>229</v>
      </c>
    </row>
    <row r="41" customFormat="false" ht="15" hidden="false" customHeight="false" outlineLevel="0" collapsed="false">
      <c r="A41" s="3" t="s">
        <v>230</v>
      </c>
      <c r="C41" s="19" t="n">
        <f aca="false">C35 * C40</f>
        <v>1382.1</v>
      </c>
      <c r="D41" s="19" t="n">
        <f aca="false">D35 * D40</f>
        <v>1382.1</v>
      </c>
      <c r="E41" s="19" t="n">
        <f aca="false">E35 * E40</f>
        <v>1382.1</v>
      </c>
      <c r="F41" s="19" t="n">
        <f aca="false">F35 * F40</f>
        <v>1382.1</v>
      </c>
      <c r="G41" s="19" t="n">
        <f aca="false">G35 * G40</f>
        <v>1382.1</v>
      </c>
      <c r="H41" s="19" t="n">
        <f aca="false">H35 * H40</f>
        <v>1382.1</v>
      </c>
      <c r="I41" s="19" t="n">
        <f aca="false">I35 * I40</f>
        <v>1382.1</v>
      </c>
      <c r="L41" s="6" t="s">
        <v>231</v>
      </c>
    </row>
    <row r="42" customFormat="false" ht="15" hidden="false" customHeight="false" outlineLevel="0" collapsed="false">
      <c r="A42" s="14" t="s">
        <v>232</v>
      </c>
      <c r="B42" s="15"/>
      <c r="C42" s="16" t="n">
        <f aca="false">C11 + C31 + C41</f>
        <v>1342.1</v>
      </c>
      <c r="D42" s="16" t="n">
        <f aca="false">D11 + D31 + D41</f>
        <v>1342.1</v>
      </c>
      <c r="E42" s="16" t="n">
        <f aca="false">E11 + E31 + E41</f>
        <v>1397.1</v>
      </c>
      <c r="F42" s="16" t="n">
        <f aca="false">F11 + F31 + F41</f>
        <v>1397.1</v>
      </c>
      <c r="G42" s="16" t="n">
        <f aca="false">G11 + G31 + G41</f>
        <v>1508.1</v>
      </c>
      <c r="H42" s="16" t="n">
        <f aca="false">H11 + H31 + H41</f>
        <v>1508.1</v>
      </c>
      <c r="I42" s="16" t="n">
        <f aca="false">I11 + I31 + I41</f>
        <v>1508.1</v>
      </c>
      <c r="J42" s="15"/>
      <c r="K42" s="15"/>
      <c r="L42" s="17" t="s">
        <v>231</v>
      </c>
      <c r="M42" s="17" t="s">
        <v>233</v>
      </c>
    </row>
    <row r="43" customFormat="false" ht="15" hidden="false" customHeight="false" outlineLevel="0" collapsed="false">
      <c r="A43" s="3" t="s">
        <v>234</v>
      </c>
      <c r="C43" s="19" t="n">
        <f aca="false">IFERROR(C35/C38, 0)</f>
        <v>5100</v>
      </c>
      <c r="D43" s="19" t="n">
        <f aca="false">IFERROR(D35/D38, 0)</f>
        <v>5100</v>
      </c>
      <c r="E43" s="19" t="n">
        <f aca="false">IFERROR(E35/E38, 0)</f>
        <v>5100</v>
      </c>
      <c r="F43" s="19" t="n">
        <f aca="false">IFERROR(F35/F38, 0)</f>
        <v>5100</v>
      </c>
      <c r="G43" s="19" t="n">
        <f aca="false">IFERROR(G35/G38, 0)</f>
        <v>5100</v>
      </c>
      <c r="H43" s="19" t="n">
        <f aca="false">IFERROR(H35/H38, 0)</f>
        <v>5100</v>
      </c>
      <c r="I43" s="19" t="n">
        <f aca="false">IFERROR(I35/I38, 0)</f>
        <v>5100</v>
      </c>
      <c r="L43" s="6" t="s">
        <v>231</v>
      </c>
      <c r="M43" s="6" t="s">
        <v>235</v>
      </c>
    </row>
    <row r="44" customFormat="false" ht="15" hidden="false" customHeight="false" outlineLevel="0" collapsed="false">
      <c r="A44" s="14" t="s">
        <v>236</v>
      </c>
      <c r="B44" s="15"/>
      <c r="C44" s="16" t="n">
        <f aca="false">C11 + C31 + C43</f>
        <v>5060</v>
      </c>
      <c r="D44" s="16" t="n">
        <f aca="false">D11 + D31 + D43</f>
        <v>5060</v>
      </c>
      <c r="E44" s="16" t="n">
        <f aca="false">E11 + E31 + E43</f>
        <v>5115</v>
      </c>
      <c r="F44" s="16" t="n">
        <f aca="false">F11 + F31 + F43</f>
        <v>5115</v>
      </c>
      <c r="G44" s="16" t="n">
        <f aca="false">G11 + G31 + G43</f>
        <v>5226</v>
      </c>
      <c r="H44" s="16" t="n">
        <f aca="false">H11 + H31 + H43</f>
        <v>5226</v>
      </c>
      <c r="I44" s="16" t="n">
        <f aca="false">I11 + I31 + I43</f>
        <v>5226</v>
      </c>
      <c r="J44" s="15"/>
      <c r="K44" s="15"/>
      <c r="L44" s="17" t="s">
        <v>231</v>
      </c>
      <c r="M44" s="15"/>
    </row>
    <row r="46" customFormat="false" ht="19.5" hidden="false" customHeight="true" outlineLevel="0" collapsed="false">
      <c r="A46" s="7" t="s">
        <v>237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customFormat="false" ht="15" hidden="false" customHeight="false" outlineLevel="0" collapsed="false">
      <c r="A47" s="3" t="s">
        <v>54</v>
      </c>
      <c r="C47" s="27" t="n">
        <f aca="false">Assumptions!C30</f>
        <v>5000</v>
      </c>
      <c r="D47" s="27" t="n">
        <f aca="false">Assumptions!D30</f>
        <v>10000</v>
      </c>
      <c r="E47" s="27" t="n">
        <f aca="false">Assumptions!E30</f>
        <v>25000</v>
      </c>
      <c r="F47" s="27" t="n">
        <f aca="false">Assumptions!F30</f>
        <v>50000</v>
      </c>
      <c r="G47" s="27" t="n">
        <f aca="false">Assumptions!G30</f>
        <v>50000</v>
      </c>
      <c r="H47" s="27" t="n">
        <f aca="false">Assumptions!H30</f>
        <v>75000</v>
      </c>
      <c r="I47" s="27" t="n">
        <f aca="false">Assumptions!I30</f>
        <v>100000</v>
      </c>
      <c r="L47" s="6" t="s">
        <v>55</v>
      </c>
    </row>
    <row r="48" customFormat="false" ht="15" hidden="false" customHeight="false" outlineLevel="0" collapsed="false">
      <c r="A48" s="3" t="s">
        <v>238</v>
      </c>
      <c r="C48" s="27" t="n">
        <f aca="false">Assumptions!C68</f>
        <v>0</v>
      </c>
      <c r="D48" s="27" t="n">
        <f aca="false">Assumptions!D68</f>
        <v>0</v>
      </c>
      <c r="E48" s="27" t="n">
        <f aca="false">Assumptions!E68</f>
        <v>8100</v>
      </c>
      <c r="F48" s="27" t="n">
        <f aca="false">Assumptions!F68</f>
        <v>24300</v>
      </c>
      <c r="G48" s="27" t="n">
        <f aca="false">Assumptions!G68</f>
        <v>40500</v>
      </c>
      <c r="H48" s="27" t="n">
        <f aca="false">Assumptions!H68</f>
        <v>108000</v>
      </c>
      <c r="I48" s="27" t="n">
        <f aca="false">Assumptions!I68</f>
        <v>202500</v>
      </c>
      <c r="L48" s="6" t="s">
        <v>55</v>
      </c>
    </row>
    <row r="49" customFormat="false" ht="15" hidden="false" customHeight="false" outlineLevel="0" collapsed="false">
      <c r="A49" s="3" t="s">
        <v>239</v>
      </c>
      <c r="C49" s="19" t="n">
        <f aca="false">C47 + C48</f>
        <v>5000</v>
      </c>
      <c r="D49" s="19" t="n">
        <f aca="false">D47 + D48</f>
        <v>10000</v>
      </c>
      <c r="E49" s="19" t="n">
        <f aca="false">E47 + E48</f>
        <v>33100</v>
      </c>
      <c r="F49" s="19" t="n">
        <f aca="false">F47 + F48</f>
        <v>74300</v>
      </c>
      <c r="G49" s="19" t="n">
        <f aca="false">G47 + G48</f>
        <v>90500</v>
      </c>
      <c r="H49" s="19" t="n">
        <f aca="false">H47 + H48</f>
        <v>183000</v>
      </c>
      <c r="I49" s="19" t="n">
        <f aca="false">I47 + I48</f>
        <v>302500</v>
      </c>
      <c r="L49" s="6" t="s">
        <v>55</v>
      </c>
    </row>
    <row r="50" customFormat="false" ht="15" hidden="false" customHeight="false" outlineLevel="0" collapsed="false">
      <c r="A50" s="3" t="s">
        <v>240</v>
      </c>
      <c r="C50" s="32" t="n">
        <f aca="false">Assumptions!C28</f>
        <v>0</v>
      </c>
      <c r="D50" s="32" t="n">
        <f aca="false">Assumptions!D28</f>
        <v>0</v>
      </c>
      <c r="E50" s="32" t="n">
        <f aca="false">Assumptions!E28</f>
        <v>30</v>
      </c>
      <c r="F50" s="32" t="n">
        <f aca="false">Assumptions!F28</f>
        <v>90</v>
      </c>
      <c r="G50" s="32" t="n">
        <f aca="false">Assumptions!G28</f>
        <v>150</v>
      </c>
      <c r="H50" s="32" t="n">
        <f aca="false">Assumptions!H28</f>
        <v>400</v>
      </c>
      <c r="I50" s="32" t="n">
        <f aca="false">Assumptions!I28</f>
        <v>750</v>
      </c>
      <c r="L50" s="6" t="s">
        <v>50</v>
      </c>
    </row>
    <row r="51" customFormat="false" ht="15" hidden="false" customHeight="false" outlineLevel="0" collapsed="false">
      <c r="A51" s="14" t="s">
        <v>241</v>
      </c>
      <c r="B51" s="15"/>
      <c r="C51" s="16" t="n">
        <f aca="false">IFERROR(C49/C50, 0)</f>
        <v>0</v>
      </c>
      <c r="D51" s="16" t="n">
        <f aca="false">IFERROR(D49/D50, 0)</f>
        <v>0</v>
      </c>
      <c r="E51" s="16" t="n">
        <f aca="false">IFERROR(E49/E50, 0)</f>
        <v>1103.33333333333</v>
      </c>
      <c r="F51" s="16" t="n">
        <f aca="false">IFERROR(F49/F50, 0)</f>
        <v>825.555555555556</v>
      </c>
      <c r="G51" s="16" t="n">
        <f aca="false">IFERROR(G49/G50, 0)</f>
        <v>603.333333333333</v>
      </c>
      <c r="H51" s="16" t="n">
        <f aca="false">IFERROR(H49/H50, 0)</f>
        <v>457.5</v>
      </c>
      <c r="I51" s="16" t="n">
        <f aca="false">IFERROR(I49/I50, 0)</f>
        <v>403.333333333333</v>
      </c>
      <c r="J51" s="15"/>
      <c r="K51" s="15"/>
      <c r="L51" s="17" t="s">
        <v>231</v>
      </c>
      <c r="M51" s="17" t="s">
        <v>242</v>
      </c>
    </row>
    <row r="52" customFormat="false" ht="15" hidden="false" customHeight="false" outlineLevel="0" collapsed="false">
      <c r="A52" s="3" t="s">
        <v>57</v>
      </c>
      <c r="C52" s="27" t="n">
        <f aca="false">Assumptions!C31</f>
        <v>0</v>
      </c>
      <c r="D52" s="27" t="n">
        <f aca="false">Assumptions!D31</f>
        <v>0</v>
      </c>
      <c r="E52" s="27" t="n">
        <f aca="false">Assumptions!E31</f>
        <v>0</v>
      </c>
      <c r="F52" s="27" t="n">
        <f aca="false">Assumptions!F31</f>
        <v>0</v>
      </c>
      <c r="G52" s="27" t="n">
        <f aca="false">Assumptions!G31</f>
        <v>100000</v>
      </c>
      <c r="H52" s="27" t="n">
        <f aca="false">Assumptions!H31</f>
        <v>225000</v>
      </c>
      <c r="I52" s="27" t="n">
        <f aca="false">Assumptions!I31</f>
        <v>400000</v>
      </c>
      <c r="L52" s="6" t="s">
        <v>55</v>
      </c>
    </row>
    <row r="53" customFormat="false" ht="15" hidden="false" customHeight="false" outlineLevel="0" collapsed="false">
      <c r="A53" s="3" t="s">
        <v>243</v>
      </c>
      <c r="C53" s="32" t="n">
        <f aca="false">Assumptions!C29</f>
        <v>0</v>
      </c>
      <c r="D53" s="32" t="n">
        <f aca="false">Assumptions!D29</f>
        <v>0</v>
      </c>
      <c r="E53" s="32" t="n">
        <f aca="false">Assumptions!E29</f>
        <v>0</v>
      </c>
      <c r="F53" s="32" t="n">
        <f aca="false">Assumptions!F29</f>
        <v>0</v>
      </c>
      <c r="G53" s="32" t="n">
        <f aca="false">Assumptions!G29</f>
        <v>1041</v>
      </c>
      <c r="H53" s="32" t="n">
        <f aca="false">Assumptions!H29</f>
        <v>1954</v>
      </c>
      <c r="I53" s="32" t="n">
        <f aca="false">Assumptions!I29</f>
        <v>5325</v>
      </c>
      <c r="L53" s="6" t="s">
        <v>50</v>
      </c>
    </row>
    <row r="54" customFormat="false" ht="15" hidden="false" customHeight="false" outlineLevel="0" collapsed="false">
      <c r="A54" s="14" t="s">
        <v>244</v>
      </c>
      <c r="B54" s="15"/>
      <c r="C54" s="16" t="n">
        <f aca="false">IFERROR(C52/C53, 0)</f>
        <v>0</v>
      </c>
      <c r="D54" s="16" t="n">
        <f aca="false">IFERROR(D52/D53, 0)</f>
        <v>0</v>
      </c>
      <c r="E54" s="16" t="n">
        <f aca="false">IFERROR(E52/E53, 0)</f>
        <v>0</v>
      </c>
      <c r="F54" s="16" t="n">
        <f aca="false">IFERROR(F52/F53, 0)</f>
        <v>0</v>
      </c>
      <c r="G54" s="16" t="n">
        <f aca="false">IFERROR(G52/G53, 0)</f>
        <v>96.0614793467819</v>
      </c>
      <c r="H54" s="16" t="n">
        <f aca="false">IFERROR(H52/H53, 0)</f>
        <v>115.148413510747</v>
      </c>
      <c r="I54" s="16" t="n">
        <f aca="false">IFERROR(I52/I53, 0)</f>
        <v>75.1173708920188</v>
      </c>
      <c r="J54" s="15"/>
      <c r="K54" s="15"/>
      <c r="L54" s="17" t="s">
        <v>231</v>
      </c>
      <c r="M54" s="17" t="s">
        <v>245</v>
      </c>
    </row>
    <row r="56" customFormat="false" ht="19.5" hidden="false" customHeight="true" outlineLevel="0" collapsed="false">
      <c r="A56" s="7" t="s">
        <v>246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customFormat="false" ht="15" hidden="false" customHeight="false" outlineLevel="0" collapsed="false">
      <c r="A57" s="14" t="s">
        <v>247</v>
      </c>
      <c r="B57" s="15"/>
      <c r="C57" s="16" t="n">
        <f aca="false">Assumptions!$B$26 * (C11 + C41)</f>
        <v>4026.3</v>
      </c>
      <c r="D57" s="16" t="n">
        <f aca="false">Assumptions!$B$26 * (D11 + D41)</f>
        <v>4026.3</v>
      </c>
      <c r="E57" s="16" t="n">
        <f aca="false">Assumptions!$B$26 * (E11 + E41)</f>
        <v>4191.3</v>
      </c>
      <c r="F57" s="16" t="n">
        <f aca="false">Assumptions!$B$26 * (F11 + F41)</f>
        <v>4191.3</v>
      </c>
      <c r="G57" s="16" t="n">
        <f aca="false">Assumptions!$B$26 * (G11 + G41)</f>
        <v>4524.3</v>
      </c>
      <c r="H57" s="16" t="n">
        <f aca="false">Assumptions!$B$26 * (H11 + H41)</f>
        <v>4524.3</v>
      </c>
      <c r="I57" s="16" t="n">
        <f aca="false">Assumptions!$B$26 * (I11 + I41)</f>
        <v>4524.3</v>
      </c>
      <c r="J57" s="15"/>
      <c r="K57" s="15"/>
      <c r="L57" s="17" t="s">
        <v>231</v>
      </c>
      <c r="M57" s="17" t="s">
        <v>248</v>
      </c>
    </row>
    <row r="58" customFormat="false" ht="15" hidden="false" customHeight="false" outlineLevel="0" collapsed="false">
      <c r="A58" s="14" t="s">
        <v>249</v>
      </c>
      <c r="B58" s="15"/>
      <c r="C58" s="16" t="n">
        <f aca="false">C11</f>
        <v>-40</v>
      </c>
      <c r="D58" s="16" t="n">
        <f aca="false">D11</f>
        <v>-40</v>
      </c>
      <c r="E58" s="16" t="n">
        <f aca="false">E11</f>
        <v>15</v>
      </c>
      <c r="F58" s="16" t="n">
        <f aca="false">F11</f>
        <v>15</v>
      </c>
      <c r="G58" s="16" t="n">
        <f aca="false">G11</f>
        <v>126</v>
      </c>
      <c r="H58" s="16" t="n">
        <f aca="false">H11</f>
        <v>126</v>
      </c>
      <c r="I58" s="16" t="n">
        <f aca="false">I11</f>
        <v>126</v>
      </c>
      <c r="J58" s="15"/>
      <c r="K58" s="15"/>
      <c r="L58" s="17" t="s">
        <v>231</v>
      </c>
      <c r="M58" s="17" t="s">
        <v>250</v>
      </c>
    </row>
    <row r="59" customFormat="false" ht="15" hidden="false" customHeight="false" outlineLevel="0" collapsed="false">
      <c r="A59" s="14" t="s">
        <v>251</v>
      </c>
      <c r="B59" s="15"/>
      <c r="C59" s="33" t="n">
        <f aca="false">IFERROR(C57/C51, 0)</f>
        <v>0</v>
      </c>
      <c r="D59" s="33" t="n">
        <f aca="false">IFERROR(D57/D51, 0)</f>
        <v>0</v>
      </c>
      <c r="E59" s="33" t="n">
        <f aca="false">IFERROR(E57/E51, 0)</f>
        <v>3.79876132930514</v>
      </c>
      <c r="F59" s="33" t="n">
        <f aca="false">IFERROR(F57/F51, 0)</f>
        <v>5.07694481830417</v>
      </c>
      <c r="G59" s="33" t="n">
        <f aca="false">IFERROR(G57/G51, 0)</f>
        <v>7.49883977900552</v>
      </c>
      <c r="H59" s="33" t="n">
        <f aca="false">IFERROR(H57/H51, 0)</f>
        <v>9.88918032786885</v>
      </c>
      <c r="I59" s="33" t="n">
        <f aca="false">IFERROR(I57/I51, 0)</f>
        <v>11.2172727272727</v>
      </c>
      <c r="J59" s="15"/>
      <c r="K59" s="15"/>
      <c r="L59" s="17" t="s">
        <v>252</v>
      </c>
      <c r="M59" s="17" t="s">
        <v>253</v>
      </c>
    </row>
    <row r="60" customFormat="false" ht="15" hidden="false" customHeight="false" outlineLevel="0" collapsed="false">
      <c r="A60" s="14" t="s">
        <v>254</v>
      </c>
      <c r="B60" s="15"/>
      <c r="C60" s="33" t="n">
        <f aca="false">IFERROR(C58/C54, 0)</f>
        <v>0</v>
      </c>
      <c r="D60" s="33" t="n">
        <f aca="false">IFERROR(D58/D54, 0)</f>
        <v>0</v>
      </c>
      <c r="E60" s="33" t="n">
        <f aca="false">IFERROR(E58/E54, 0)</f>
        <v>0</v>
      </c>
      <c r="F60" s="33" t="n">
        <f aca="false">IFERROR(F58/F54, 0)</f>
        <v>0</v>
      </c>
      <c r="G60" s="33" t="n">
        <f aca="false">IFERROR(G58/G54, 0)</f>
        <v>1.31166</v>
      </c>
      <c r="H60" s="33" t="n">
        <f aca="false">IFERROR(H58/H54, 0)</f>
        <v>1.09424</v>
      </c>
      <c r="I60" s="33" t="n">
        <f aca="false">IFERROR(I58/I54, 0)</f>
        <v>1.677375</v>
      </c>
      <c r="J60" s="15"/>
      <c r="K60" s="15"/>
      <c r="L60" s="17" t="s">
        <v>252</v>
      </c>
      <c r="M60" s="17" t="s">
        <v>255</v>
      </c>
    </row>
    <row r="61" customFormat="false" ht="15" hidden="false" customHeight="false" outlineLevel="0" collapsed="false">
      <c r="A61" s="3" t="s">
        <v>256</v>
      </c>
      <c r="C61" s="24" t="n">
        <f aca="false">IFERROR(C51*12/(Assumptions!$B$26 * C35), 0)</f>
        <v>0</v>
      </c>
      <c r="D61" s="24" t="n">
        <f aca="false">IFERROR(D51*12/(Assumptions!$B$26 * D35), 0)</f>
        <v>0</v>
      </c>
      <c r="E61" s="24" t="n">
        <f aca="false">IFERROR(E51*12/(Assumptions!$B$26 * E35), 0)</f>
        <v>8.65359477124183</v>
      </c>
      <c r="F61" s="24" t="n">
        <f aca="false">IFERROR(F51*12/(Assumptions!$B$26 * F35), 0)</f>
        <v>6.47494553376906</v>
      </c>
      <c r="G61" s="24" t="n">
        <f aca="false">IFERROR(G51*12/(Assumptions!$B$26 * G35), 0)</f>
        <v>4.73202614379085</v>
      </c>
      <c r="H61" s="24" t="n">
        <f aca="false">IFERROR(H51*12/(Assumptions!$B$26 * H35), 0)</f>
        <v>3.58823529411765</v>
      </c>
      <c r="I61" s="24" t="n">
        <f aca="false">IFERROR(I51*12/(Assumptions!$B$26 * I35), 0)</f>
        <v>3.16339869281046</v>
      </c>
      <c r="L61" s="6" t="s">
        <v>257</v>
      </c>
      <c r="M61" s="6" t="s">
        <v>258</v>
      </c>
    </row>
    <row r="63" customFormat="false" ht="19.5" hidden="false" customHeight="true" outlineLevel="0" collapsed="false">
      <c r="A63" s="7" t="s">
        <v>259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customFormat="false" ht="15" hidden="false" customHeight="false" outlineLevel="0" collapsed="false">
      <c r="A64" s="34" t="s">
        <v>260</v>
      </c>
      <c r="B64" s="35" t="n">
        <f aca="false">K11</f>
        <v>0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5" customFormat="false" ht="15" hidden="false" customHeight="false" outlineLevel="0" collapsed="false">
      <c r="A65" s="34" t="s">
        <v>261</v>
      </c>
      <c r="B65" s="35" t="n">
        <f aca="false">K17</f>
        <v>0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 customFormat="false" ht="15" hidden="false" customHeight="false" outlineLevel="0" collapsed="false">
      <c r="A66" s="34" t="s">
        <v>247</v>
      </c>
      <c r="B66" s="35" t="n">
        <f aca="false">K57</f>
        <v>0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customFormat="false" ht="15" hidden="false" customHeight="false" outlineLevel="0" collapsed="false">
      <c r="A67" s="34" t="s">
        <v>262</v>
      </c>
      <c r="B67" s="35" t="n">
        <f aca="false">K58</f>
        <v>0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customFormat="false" ht="15" hidden="false" customHeight="false" outlineLevel="0" collapsed="false">
      <c r="A68" s="34" t="s">
        <v>241</v>
      </c>
      <c r="B68" s="35" t="n">
        <f aca="false">K51</f>
        <v>0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customFormat="false" ht="15" hidden="false" customHeight="false" outlineLevel="0" collapsed="false">
      <c r="A69" s="34" t="s">
        <v>244</v>
      </c>
      <c r="B69" s="35" t="n">
        <f aca="false">K54</f>
        <v>0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customFormat="false" ht="15" hidden="false" customHeight="false" outlineLevel="0" collapsed="false">
      <c r="A70" s="34" t="s">
        <v>263</v>
      </c>
      <c r="B70" s="37" t="n">
        <f aca="false">K59</f>
        <v>0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customFormat="false" ht="15" hidden="false" customHeight="false" outlineLevel="0" collapsed="false">
      <c r="A71" s="34" t="s">
        <v>264</v>
      </c>
      <c r="B71" s="37" t="n">
        <f aca="false">K60</f>
        <v>0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 customFormat="false" ht="15" hidden="false" customHeight="false" outlineLevel="0" collapsed="false">
      <c r="A72" s="34" t="s">
        <v>265</v>
      </c>
      <c r="B72" s="38" t="n">
        <f aca="false">K61</f>
        <v>0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</sheetData>
  <mergeCells count="11">
    <mergeCell ref="A1:M1"/>
    <mergeCell ref="A2:M2"/>
    <mergeCell ref="A8:M8"/>
    <mergeCell ref="A14:M14"/>
    <mergeCell ref="A20:M20"/>
    <mergeCell ref="A26:M26"/>
    <mergeCell ref="A33:M33"/>
    <mergeCell ref="A37:M37"/>
    <mergeCell ref="A46:M46"/>
    <mergeCell ref="A56:M56"/>
    <mergeCell ref="A63:M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2" min="12" style="0" width="16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C4" s="4" t="str">
        <f aca="false">Assumptions!C4</f>
        <v>Y1</v>
      </c>
      <c r="D4" s="4" t="str">
        <f aca="false">Assumptions!D4</f>
        <v>Y2</v>
      </c>
      <c r="E4" s="4" t="str">
        <f aca="false">Assumptions!E4</f>
        <v>Y3</v>
      </c>
      <c r="F4" s="4" t="str">
        <f aca="false">Assumptions!F4</f>
        <v>Y4</v>
      </c>
      <c r="G4" s="4" t="str">
        <f aca="false">Assumptions!G4</f>
        <v>Y5</v>
      </c>
      <c r="H4" s="4" t="str">
        <f aca="false">Assumptions!H4</f>
        <v>Y6</v>
      </c>
      <c r="I4" s="4" t="str">
        <f aca="false">Assumptions!I4</f>
        <v>Y7</v>
      </c>
    </row>
    <row r="5" customFormat="false" ht="15" hidden="false" customHeight="false" outlineLevel="0" collapsed="false">
      <c r="A5" s="3" t="s">
        <v>10</v>
      </c>
      <c r="C5" s="26" t="n">
        <f aca="false">Assumptions!C5</f>
        <v>1</v>
      </c>
      <c r="D5" s="26" t="n">
        <f aca="false">Assumptions!D5</f>
        <v>2</v>
      </c>
      <c r="E5" s="26" t="n">
        <f aca="false">Assumptions!E5</f>
        <v>3</v>
      </c>
      <c r="F5" s="26" t="n">
        <f aca="false">Assumptions!F5</f>
        <v>4</v>
      </c>
      <c r="G5" s="26" t="n">
        <f aca="false">Assumptions!G5</f>
        <v>5</v>
      </c>
      <c r="H5" s="26" t="n">
        <f aca="false">Assumptions!H5</f>
        <v>6</v>
      </c>
      <c r="I5" s="26" t="n">
        <f aca="false">Assumptions!I5</f>
        <v>7</v>
      </c>
    </row>
    <row r="6" customFormat="false" ht="15" hidden="false" customHeight="false" outlineLevel="0" collapsed="false">
      <c r="A6" s="3" t="s">
        <v>13</v>
      </c>
      <c r="C6" s="26" t="n">
        <f aca="false">Assumptions!C7</f>
        <v>1</v>
      </c>
      <c r="D6" s="26" t="n">
        <f aca="false">Assumptions!D7</f>
        <v>1</v>
      </c>
      <c r="E6" s="26" t="n">
        <f aca="false">Assumptions!E7</f>
        <v>2</v>
      </c>
      <c r="F6" s="26" t="n">
        <f aca="false">Assumptions!F7</f>
        <v>2</v>
      </c>
      <c r="G6" s="26" t="n">
        <f aca="false">Assumptions!G7</f>
        <v>3</v>
      </c>
      <c r="H6" s="26" t="n">
        <f aca="false">Assumptions!H7</f>
        <v>3</v>
      </c>
      <c r="I6" s="26" t="n">
        <f aca="false">Assumptions!I7</f>
        <v>3</v>
      </c>
    </row>
    <row r="8" customFormat="false" ht="19.5" hidden="false" customHeight="true" outlineLevel="0" collapsed="false">
      <c r="A8" s="7" t="s">
        <v>268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3" t="s">
        <v>269</v>
      </c>
      <c r="C9" s="19" t="n">
        <f aca="false">INDEX(Assumptions!$C$15:$K$15, 1, MAX(C5 - Scenarios!$B$26, MIN(C5, 3))) * Scenarios!$B$20 * Assumptions!C22 * Scenarios!$B$27 * (1 - Assumptions!$B$23)</f>
        <v>0</v>
      </c>
      <c r="D9" s="19" t="n">
        <f aca="false">INDEX(Assumptions!$C$15:$K$15, 1, MAX(D5 - Scenarios!$B$26, MIN(D5, 3))) * Scenarios!$B$20 * Assumptions!D22 * Scenarios!$B$27 * (1 - Assumptions!$B$23)</f>
        <v>0</v>
      </c>
      <c r="E9" s="19" t="n">
        <f aca="false">INDEX(Assumptions!$C$15:$K$15, 1, MAX(E5 - Scenarios!$B$26, MIN(E5, 3))) * Scenarios!$B$20 * Assumptions!E22 * Scenarios!$B$27 * (1 - Assumptions!$B$23)</f>
        <v>26460</v>
      </c>
      <c r="F9" s="19" t="n">
        <f aca="false">INDEX(Assumptions!$C$15:$K$15, 1, MAX(F5 - Scenarios!$B$26, MIN(F5, 3))) * Scenarios!$B$20 * Assumptions!F22 * Scenarios!$B$27 * (1 - Assumptions!$B$23)</f>
        <v>79380</v>
      </c>
      <c r="G9" s="19" t="n">
        <f aca="false">INDEX(Assumptions!$C$15:$K$15, 1, MAX(G5 - Scenarios!$B$26, MIN(G5, 3))) * Scenarios!$B$20 * Assumptions!G22 * Scenarios!$B$27 * (1 - Assumptions!$B$23)</f>
        <v>438354</v>
      </c>
      <c r="H9" s="19" t="n">
        <f aca="false">INDEX(Assumptions!$C$15:$K$15, 1, MAX(H5 - Scenarios!$B$26, MIN(H5, 3))) * Scenarios!$B$20 * Assumptions!H22 * Scenarios!$B$27 * (1 - Assumptions!$B$23)</f>
        <v>927276</v>
      </c>
      <c r="I9" s="19" t="n">
        <f aca="false">INDEX(Assumptions!$C$15:$K$15, 1, MAX(I5 - Scenarios!$B$26, MIN(I5, 3))) * Scenarios!$B$20 * Assumptions!I22 * Scenarios!$B$27 * (1 - Assumptions!$B$23)</f>
        <v>2227050</v>
      </c>
      <c r="L9" s="6" t="s">
        <v>113</v>
      </c>
      <c r="M9" s="6" t="s">
        <v>270</v>
      </c>
    </row>
    <row r="10" customFormat="false" ht="15" hidden="false" customHeight="false" outlineLevel="0" collapsed="false">
      <c r="A10" s="3" t="s">
        <v>271</v>
      </c>
      <c r="C10" s="19" t="n">
        <f aca="false">Assumptions!C18 * Assumptions!C32</f>
        <v>0</v>
      </c>
      <c r="D10" s="19" t="n">
        <f aca="false">Assumptions!D18 * Assumptions!D32</f>
        <v>0</v>
      </c>
      <c r="E10" s="19" t="n">
        <f aca="false">Assumptions!E18 * Assumptions!E32</f>
        <v>27000</v>
      </c>
      <c r="F10" s="19" t="n">
        <f aca="false">Assumptions!F18 * Assumptions!F32</f>
        <v>132300</v>
      </c>
      <c r="G10" s="19" t="n">
        <f aca="false">Assumptions!G18 * Assumptions!G32</f>
        <v>335070</v>
      </c>
      <c r="H10" s="19" t="n">
        <f aca="false">Assumptions!H18 * Assumptions!H32</f>
        <v>796563</v>
      </c>
      <c r="I10" s="19" t="n">
        <f aca="false">Assumptions!I18 * Assumptions!I32</f>
        <v>1751906.7</v>
      </c>
      <c r="L10" s="6" t="s">
        <v>113</v>
      </c>
      <c r="M10" s="6" t="s">
        <v>272</v>
      </c>
    </row>
    <row r="11" customFormat="false" ht="15" hidden="false" customHeight="false" outlineLevel="0" collapsed="false">
      <c r="A11" s="3" t="s">
        <v>273</v>
      </c>
      <c r="C11" s="19" t="n">
        <f aca="false">Assumptions!$B$35 * Assumptions!C36 * Assumptions!$B$37</f>
        <v>0</v>
      </c>
      <c r="D11" s="19" t="n">
        <f aca="false">Assumptions!$B$35 * Assumptions!D36 * Assumptions!$B$37</f>
        <v>0</v>
      </c>
      <c r="E11" s="19" t="n">
        <f aca="false">Assumptions!$B$35 * Assumptions!E36 * Assumptions!$B$37</f>
        <v>0</v>
      </c>
      <c r="F11" s="19" t="n">
        <f aca="false">Assumptions!$B$35 * Assumptions!F36 * Assumptions!$B$37</f>
        <v>0</v>
      </c>
      <c r="G11" s="19" t="n">
        <f aca="false">Assumptions!$B$35 * Assumptions!G36 * Assumptions!$B$37</f>
        <v>0</v>
      </c>
      <c r="H11" s="19" t="n">
        <f aca="false">Assumptions!$B$35 * Assumptions!H36 * Assumptions!$B$37</f>
        <v>0</v>
      </c>
      <c r="I11" s="19" t="n">
        <f aca="false">Assumptions!$B$35 * Assumptions!I36 * Assumptions!$B$37</f>
        <v>0</v>
      </c>
      <c r="L11" s="6" t="s">
        <v>113</v>
      </c>
      <c r="M11" s="6" t="s">
        <v>274</v>
      </c>
    </row>
    <row r="12" customFormat="false" ht="15" hidden="false" customHeight="false" outlineLevel="0" collapsed="false">
      <c r="A12" s="3" t="s">
        <v>275</v>
      </c>
      <c r="C12" s="19" t="n">
        <f aca="false">Assumptions!$B$38 * Assumptions!C18 * Assumptions!$B$39</f>
        <v>0</v>
      </c>
      <c r="D12" s="19" t="n">
        <f aca="false">Assumptions!$B$38 * Assumptions!D18 * Assumptions!$B$39</f>
        <v>0</v>
      </c>
      <c r="E12" s="19" t="n">
        <f aca="false">Assumptions!$B$38 * Assumptions!E18 * Assumptions!$B$39</f>
        <v>0</v>
      </c>
      <c r="F12" s="19" t="n">
        <f aca="false">Assumptions!$B$38 * Assumptions!F18 * Assumptions!$B$39</f>
        <v>0</v>
      </c>
      <c r="G12" s="19" t="n">
        <f aca="false">Assumptions!$B$38 * Assumptions!G18 * Assumptions!$B$39</f>
        <v>0</v>
      </c>
      <c r="H12" s="19" t="n">
        <f aca="false">Assumptions!$B$38 * Assumptions!H18 * Assumptions!$B$39</f>
        <v>0</v>
      </c>
      <c r="I12" s="19" t="n">
        <f aca="false">Assumptions!$B$38 * Assumptions!I18 * Assumptions!$B$39</f>
        <v>0</v>
      </c>
      <c r="L12" s="6" t="s">
        <v>113</v>
      </c>
      <c r="M12" s="6" t="s">
        <v>276</v>
      </c>
    </row>
    <row r="13" customFormat="false" ht="15" hidden="false" customHeight="false" outlineLevel="0" collapsed="false">
      <c r="A13" s="3" t="s">
        <v>277</v>
      </c>
      <c r="C13" s="19" t="n">
        <f aca="false">Assumptions!$B$41 * INDEX(Assumptions!$C$15:$K$15, 1, MAX(C5 - Scenarios!$B$26, MIN(C5, 3))) * Scenarios!$B$20 * Assumptions!$B$42 * Assumptions!$B$43</f>
        <v>0</v>
      </c>
      <c r="D13" s="19" t="n">
        <f aca="false">Assumptions!$B$41 * INDEX(Assumptions!$C$15:$K$15, 1, MAX(D5 - Scenarios!$B$26, MIN(D5, 3))) * Scenarios!$B$20 * Assumptions!$B$42 * Assumptions!$B$43</f>
        <v>0</v>
      </c>
      <c r="E13" s="19" t="n">
        <f aca="false">Assumptions!$B$41 * INDEX(Assumptions!$C$15:$K$15, 1, MAX(E5 - Scenarios!$B$26, MIN(E5, 3))) * Scenarios!$B$20 * Assumptions!$B$42 * Assumptions!$B$43</f>
        <v>0</v>
      </c>
      <c r="F13" s="19" t="n">
        <f aca="false">Assumptions!$B$41 * INDEX(Assumptions!$C$15:$K$15, 1, MAX(F5 - Scenarios!$B$26, MIN(F5, 3))) * Scenarios!$B$20 * Assumptions!$B$42 * Assumptions!$B$43</f>
        <v>0</v>
      </c>
      <c r="G13" s="19" t="n">
        <f aca="false">Assumptions!$B$41 * INDEX(Assumptions!$C$15:$K$15, 1, MAX(G5 - Scenarios!$B$26, MIN(G5, 3))) * Scenarios!$B$20 * Assumptions!$B$42 * Assumptions!$B$43</f>
        <v>0</v>
      </c>
      <c r="H13" s="19" t="n">
        <f aca="false">Assumptions!$B$41 * INDEX(Assumptions!$C$15:$K$15, 1, MAX(H5 - Scenarios!$B$26, MIN(H5, 3))) * Scenarios!$B$20 * Assumptions!$B$42 * Assumptions!$B$43</f>
        <v>0</v>
      </c>
      <c r="I13" s="19" t="n">
        <f aca="false">Assumptions!$B$41 * INDEX(Assumptions!$C$15:$K$15, 1, MAX(I5 - Scenarios!$B$26, MIN(I5, 3))) * Scenarios!$B$20 * Assumptions!$B$42 * Assumptions!$B$43</f>
        <v>0</v>
      </c>
      <c r="L13" s="6" t="s">
        <v>113</v>
      </c>
      <c r="M13" s="6" t="s">
        <v>278</v>
      </c>
    </row>
    <row r="14" customFormat="false" ht="15" hidden="false" customHeight="false" outlineLevel="0" collapsed="false">
      <c r="A14" s="14" t="s">
        <v>279</v>
      </c>
      <c r="B14" s="15"/>
      <c r="C14" s="16" t="n">
        <f aca="false">SUM(C9:C13)</f>
        <v>0</v>
      </c>
      <c r="D14" s="16" t="n">
        <f aca="false">SUM(D9:D13)</f>
        <v>0</v>
      </c>
      <c r="E14" s="16" t="n">
        <f aca="false">SUM(E9:E13)</f>
        <v>53460</v>
      </c>
      <c r="F14" s="16" t="n">
        <f aca="false">SUM(F9:F13)</f>
        <v>211680</v>
      </c>
      <c r="G14" s="16" t="n">
        <f aca="false">SUM(G9:G13)</f>
        <v>773424</v>
      </c>
      <c r="H14" s="16" t="n">
        <f aca="false">SUM(H9:H13)</f>
        <v>1723839</v>
      </c>
      <c r="I14" s="16" t="n">
        <f aca="false">SUM(I9:I13)</f>
        <v>3978956.7</v>
      </c>
      <c r="J14" s="15"/>
      <c r="K14" s="15"/>
      <c r="L14" s="17" t="s">
        <v>113</v>
      </c>
      <c r="M14" s="15"/>
    </row>
    <row r="16" customFormat="false" ht="19.5" hidden="false" customHeight="true" outlineLevel="0" collapsed="false">
      <c r="A16" s="7" t="s">
        <v>280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" hidden="false" customHeight="false" outlineLevel="0" collapsed="false">
      <c r="A17" s="3" t="s">
        <v>281</v>
      </c>
      <c r="C17" s="19" t="n">
        <f aca="false">INDEX(Assumptions!$C$15:$K$15, 1, MAX(C5 - Scenarios!$B$26, MIN(C5, 3))) * Scenarios!$B$20 * Assumptions!C49</f>
        <v>0</v>
      </c>
      <c r="D17" s="19" t="n">
        <f aca="false">INDEX(Assumptions!$C$15:$K$15, 1, MAX(D5 - Scenarios!$B$26, MIN(D5, 3))) * Scenarios!$B$20 * Assumptions!D49</f>
        <v>0</v>
      </c>
      <c r="E17" s="19" t="n">
        <f aca="false">INDEX(Assumptions!$C$15:$K$15, 1, MAX(E5 - Scenarios!$B$26, MIN(E5, 3))) * Scenarios!$B$20 * Assumptions!E49</f>
        <v>25650</v>
      </c>
      <c r="F17" s="19" t="n">
        <f aca="false">INDEX(Assumptions!$C$15:$K$15, 1, MAX(F5 - Scenarios!$B$26, MIN(F5, 3))) * Scenarios!$B$20 * Assumptions!F49</f>
        <v>76950</v>
      </c>
      <c r="G17" s="19" t="n">
        <f aca="false">INDEX(Assumptions!$C$15:$K$15, 1, MAX(G5 - Scenarios!$B$26, MIN(G5, 3))) * Scenarios!$B$20 * Assumptions!G49</f>
        <v>259434</v>
      </c>
      <c r="H17" s="19" t="n">
        <f aca="false">INDEX(Assumptions!$C$15:$K$15, 1, MAX(H5 - Scenarios!$B$26, MIN(H5, 3))) * Scenarios!$B$20 * Assumptions!H49</f>
        <v>548796</v>
      </c>
      <c r="I17" s="19" t="n">
        <f aca="false">INDEX(Assumptions!$C$15:$K$15, 1, MAX(I5 - Scenarios!$B$26, MIN(I5, 3))) * Scenarios!$B$20 * Assumptions!I49</f>
        <v>1318050</v>
      </c>
      <c r="L17" s="6" t="s">
        <v>113</v>
      </c>
      <c r="M17" s="6" t="s">
        <v>282</v>
      </c>
    </row>
    <row r="18" customFormat="false" ht="15" hidden="false" customHeight="false" outlineLevel="0" collapsed="false">
      <c r="A18" s="3" t="s">
        <v>283</v>
      </c>
      <c r="C18" s="19" t="n">
        <f aca="false">C10 * Assumptions!$B$50</f>
        <v>0</v>
      </c>
      <c r="D18" s="19" t="n">
        <f aca="false">D10 * Assumptions!$B$50</f>
        <v>0</v>
      </c>
      <c r="E18" s="19" t="n">
        <f aca="false">E10 * Assumptions!$B$50</f>
        <v>4050</v>
      </c>
      <c r="F18" s="19" t="n">
        <f aca="false">F10 * Assumptions!$B$50</f>
        <v>19845</v>
      </c>
      <c r="G18" s="19" t="n">
        <f aca="false">G10 * Assumptions!$B$50</f>
        <v>50260.5</v>
      </c>
      <c r="H18" s="19" t="n">
        <f aca="false">H10 * Assumptions!$B$50</f>
        <v>119484.45</v>
      </c>
      <c r="I18" s="19" t="n">
        <f aca="false">I10 * Assumptions!$B$50</f>
        <v>262786.005</v>
      </c>
      <c r="L18" s="6" t="s">
        <v>113</v>
      </c>
      <c r="M18" s="6" t="s">
        <v>284</v>
      </c>
    </row>
    <row r="19" customFormat="false" ht="15" hidden="false" customHeight="false" outlineLevel="0" collapsed="false">
      <c r="A19" s="3" t="s">
        <v>285</v>
      </c>
      <c r="C19" s="19" t="n">
        <f aca="false">C12 * (1 - Assumptions!$B$40)</f>
        <v>0</v>
      </c>
      <c r="D19" s="19" t="n">
        <f aca="false">D12 * (1 - Assumptions!$B$40)</f>
        <v>0</v>
      </c>
      <c r="E19" s="19" t="n">
        <f aca="false">E12 * (1 - Assumptions!$B$40)</f>
        <v>0</v>
      </c>
      <c r="F19" s="19" t="n">
        <f aca="false">F12 * (1 - Assumptions!$B$40)</f>
        <v>0</v>
      </c>
      <c r="G19" s="19" t="n">
        <f aca="false">G12 * (1 - Assumptions!$B$40)</f>
        <v>0</v>
      </c>
      <c r="H19" s="19" t="n">
        <f aca="false">H12 * (1 - Assumptions!$B$40)</f>
        <v>0</v>
      </c>
      <c r="I19" s="19" t="n">
        <f aca="false">I12 * (1 - Assumptions!$B$40)</f>
        <v>0</v>
      </c>
      <c r="L19" s="6" t="s">
        <v>113</v>
      </c>
    </row>
    <row r="20" customFormat="false" ht="15" hidden="false" customHeight="false" outlineLevel="0" collapsed="false">
      <c r="A20" s="3" t="s">
        <v>286</v>
      </c>
      <c r="C20" s="19" t="n">
        <f aca="false">C13 * (1 - Assumptions!$B$44)</f>
        <v>0</v>
      </c>
      <c r="D20" s="19" t="n">
        <f aca="false">D13 * (1 - Assumptions!$B$44)</f>
        <v>0</v>
      </c>
      <c r="E20" s="19" t="n">
        <f aca="false">E13 * (1 - Assumptions!$B$44)</f>
        <v>0</v>
      </c>
      <c r="F20" s="19" t="n">
        <f aca="false">F13 * (1 - Assumptions!$B$44)</f>
        <v>0</v>
      </c>
      <c r="G20" s="19" t="n">
        <f aca="false">G13 * (1 - Assumptions!$B$44)</f>
        <v>0</v>
      </c>
      <c r="H20" s="19" t="n">
        <f aca="false">H13 * (1 - Assumptions!$B$44)</f>
        <v>0</v>
      </c>
      <c r="I20" s="19" t="n">
        <f aca="false">I13 * (1 - Assumptions!$B$44)</f>
        <v>0</v>
      </c>
      <c r="L20" s="6" t="s">
        <v>113</v>
      </c>
    </row>
    <row r="21" customFormat="false" ht="15" hidden="false" customHeight="false" outlineLevel="0" collapsed="false">
      <c r="A21" s="14" t="s">
        <v>287</v>
      </c>
      <c r="B21" s="15"/>
      <c r="C21" s="16" t="n">
        <f aca="false">SUM(C17:C20)</f>
        <v>0</v>
      </c>
      <c r="D21" s="16" t="n">
        <f aca="false">SUM(D17:D20)</f>
        <v>0</v>
      </c>
      <c r="E21" s="16" t="n">
        <f aca="false">SUM(E17:E20)</f>
        <v>29700</v>
      </c>
      <c r="F21" s="16" t="n">
        <f aca="false">SUM(F17:F20)</f>
        <v>96795</v>
      </c>
      <c r="G21" s="16" t="n">
        <f aca="false">SUM(G17:G20)</f>
        <v>309694.5</v>
      </c>
      <c r="H21" s="16" t="n">
        <f aca="false">SUM(H17:H20)</f>
        <v>668280.45</v>
      </c>
      <c r="I21" s="16" t="n">
        <f aca="false">SUM(I17:I20)</f>
        <v>1580836.005</v>
      </c>
      <c r="J21" s="15"/>
      <c r="K21" s="15"/>
      <c r="L21" s="17" t="s">
        <v>113</v>
      </c>
      <c r="M21" s="15"/>
    </row>
    <row r="23" customFormat="false" ht="15" hidden="false" customHeight="false" outlineLevel="0" collapsed="false">
      <c r="A23" s="14" t="s">
        <v>288</v>
      </c>
      <c r="B23" s="15"/>
      <c r="C23" s="16" t="n">
        <f aca="false">C14 - C21</f>
        <v>0</v>
      </c>
      <c r="D23" s="16" t="n">
        <f aca="false">D14 - D21</f>
        <v>0</v>
      </c>
      <c r="E23" s="16" t="n">
        <f aca="false">E14 - E21</f>
        <v>23760</v>
      </c>
      <c r="F23" s="16" t="n">
        <f aca="false">F14 - F21</f>
        <v>114885</v>
      </c>
      <c r="G23" s="16" t="n">
        <f aca="false">G14 - G21</f>
        <v>463729.5</v>
      </c>
      <c r="H23" s="16" t="n">
        <f aca="false">H14 - H21</f>
        <v>1055558.55</v>
      </c>
      <c r="I23" s="16" t="n">
        <f aca="false">I14 - I21</f>
        <v>2398120.695</v>
      </c>
      <c r="J23" s="15"/>
      <c r="K23" s="15"/>
      <c r="L23" s="17" t="s">
        <v>113</v>
      </c>
      <c r="M23" s="15"/>
    </row>
    <row r="24" customFormat="false" ht="15" hidden="false" customHeight="false" outlineLevel="0" collapsed="false">
      <c r="A24" s="3" t="s">
        <v>289</v>
      </c>
      <c r="C24" s="28" t="n">
        <f aca="false">IFERROR(C23/C14, 0)</f>
        <v>0</v>
      </c>
      <c r="D24" s="28" t="n">
        <f aca="false">IFERROR(D23/D14, 0)</f>
        <v>0</v>
      </c>
      <c r="E24" s="28" t="n">
        <f aca="false">IFERROR(E23/E14, 0)</f>
        <v>0.444444444444444</v>
      </c>
      <c r="F24" s="28" t="n">
        <f aca="false">IFERROR(F23/F14, 0)</f>
        <v>0.542729591836735</v>
      </c>
      <c r="G24" s="28" t="n">
        <f aca="false">IFERROR(G23/G14, 0)</f>
        <v>0.599579919940421</v>
      </c>
      <c r="H24" s="28" t="n">
        <f aca="false">IFERROR(H23/H14, 0)</f>
        <v>0.612330124797037</v>
      </c>
      <c r="I24" s="28" t="n">
        <f aca="false">IFERROR(I23/I14, 0)</f>
        <v>0.60270087759437</v>
      </c>
      <c r="L24" s="6" t="s">
        <v>75</v>
      </c>
    </row>
    <row r="26" customFormat="false" ht="19.5" hidden="false" customHeight="true" outlineLevel="0" collapsed="false">
      <c r="A26" s="7" t="s">
        <v>290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customFormat="false" ht="15" hidden="false" customHeight="false" outlineLevel="0" collapsed="false">
      <c r="A27" s="3" t="s">
        <v>291</v>
      </c>
      <c r="C27" s="19" t="n">
        <f aca="false">IFERROR(Assumptions!$B$55 * Assumptions!C55 / Assumptions!C63, 0) * Assumptions!C66</f>
        <v>168952.325581395</v>
      </c>
      <c r="D27" s="19" t="n">
        <f aca="false">IFERROR(Assumptions!$B$55 * Assumptions!D55 / Assumptions!D63, 0) * Assumptions!D66</f>
        <v>174329.439252336</v>
      </c>
      <c r="E27" s="19" t="n">
        <f aca="false">IFERROR(Assumptions!$B$55 * Assumptions!E55 / Assumptions!E63, 0) * Assumptions!E66</f>
        <v>261800</v>
      </c>
      <c r="F27" s="19" t="n">
        <f aca="false">IFERROR(Assumptions!$B$55 * Assumptions!F55 / Assumptions!F63, 0) * Assumptions!F66</f>
        <v>327250</v>
      </c>
      <c r="G27" s="19" t="n">
        <f aca="false">IFERROR(Assumptions!$B$55 * Assumptions!G55 / Assumptions!G63, 0) * Assumptions!G66</f>
        <v>392700</v>
      </c>
      <c r="H27" s="19" t="n">
        <f aca="false">IFERROR(Assumptions!$B$55 * Assumptions!H55 / Assumptions!H63, 0) * Assumptions!H66</f>
        <v>458150</v>
      </c>
      <c r="I27" s="19" t="n">
        <f aca="false">IFERROR(Assumptions!$B$55 * Assumptions!I55 / Assumptions!I63, 0) * Assumptions!I66</f>
        <v>523600</v>
      </c>
      <c r="L27" s="6" t="s">
        <v>113</v>
      </c>
      <c r="M27" s="6" t="s">
        <v>292</v>
      </c>
    </row>
    <row r="28" customFormat="false" ht="15" hidden="false" customHeight="false" outlineLevel="0" collapsed="false">
      <c r="A28" s="3" t="s">
        <v>128</v>
      </c>
      <c r="C28" s="27" t="n">
        <f aca="false">Assumptions!C72</f>
        <v>15000</v>
      </c>
      <c r="D28" s="27" t="n">
        <f aca="false">Assumptions!D72</f>
        <v>20000</v>
      </c>
      <c r="E28" s="27" t="n">
        <f aca="false">Assumptions!E72</f>
        <v>25000</v>
      </c>
      <c r="F28" s="27" t="n">
        <f aca="false">Assumptions!F72</f>
        <v>30000</v>
      </c>
      <c r="G28" s="27" t="n">
        <f aca="false">Assumptions!G72</f>
        <v>30000</v>
      </c>
      <c r="H28" s="27" t="n">
        <f aca="false">Assumptions!H72</f>
        <v>30000</v>
      </c>
      <c r="I28" s="27" t="n">
        <f aca="false">Assumptions!I72</f>
        <v>30000</v>
      </c>
      <c r="L28" s="6" t="s">
        <v>113</v>
      </c>
    </row>
    <row r="29" customFormat="false" ht="15" hidden="false" customHeight="false" outlineLevel="0" collapsed="false">
      <c r="A29" s="14" t="s">
        <v>293</v>
      </c>
      <c r="B29" s="15"/>
      <c r="C29" s="16" t="n">
        <f aca="false">C27 + C28</f>
        <v>183952.325581395</v>
      </c>
      <c r="D29" s="16" t="n">
        <f aca="false">D27 + D28</f>
        <v>194329.439252336</v>
      </c>
      <c r="E29" s="16" t="n">
        <f aca="false">E27 + E28</f>
        <v>286800</v>
      </c>
      <c r="F29" s="16" t="n">
        <f aca="false">F27 + F28</f>
        <v>357250</v>
      </c>
      <c r="G29" s="16" t="n">
        <f aca="false">G27 + G28</f>
        <v>422700</v>
      </c>
      <c r="H29" s="16" t="n">
        <f aca="false">H27 + H28</f>
        <v>488150</v>
      </c>
      <c r="I29" s="16" t="n">
        <f aca="false">I27 + I28</f>
        <v>553600</v>
      </c>
      <c r="J29" s="15"/>
      <c r="K29" s="15"/>
      <c r="L29" s="17" t="s">
        <v>113</v>
      </c>
      <c r="M29" s="15"/>
    </row>
    <row r="31" customFormat="false" ht="19.5" hidden="false" customHeight="true" outlineLevel="0" collapsed="false">
      <c r="A31" s="7" t="s">
        <v>294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customFormat="false" ht="15" hidden="false" customHeight="false" outlineLevel="0" collapsed="false">
      <c r="A32" s="3" t="s">
        <v>295</v>
      </c>
      <c r="C32" s="19" t="n">
        <f aca="false">IFERROR(Assumptions!$B$56 * Assumptions!C56 / Assumptions!C63, 0) * Assumptions!C66</f>
        <v>0</v>
      </c>
      <c r="D32" s="19" t="n">
        <f aca="false">IFERROR(Assumptions!$B$56 * Assumptions!D56 / Assumptions!D63, 0) * Assumptions!D66</f>
        <v>34337.6168224299</v>
      </c>
      <c r="E32" s="19" t="n">
        <f aca="false">IFERROR(Assumptions!$B$56 * Assumptions!E56 / Assumptions!E63, 0) * Assumptions!E66</f>
        <v>77350</v>
      </c>
      <c r="F32" s="19" t="n">
        <f aca="false">IFERROR(Assumptions!$B$56 * Assumptions!F56 / Assumptions!F63, 0) * Assumptions!F66</f>
        <v>116025</v>
      </c>
      <c r="G32" s="19" t="n">
        <f aca="false">IFERROR(Assumptions!$B$56 * Assumptions!G56 / Assumptions!G63, 0) * Assumptions!G66</f>
        <v>154700</v>
      </c>
      <c r="H32" s="19" t="n">
        <f aca="false">IFERROR(Assumptions!$B$56 * Assumptions!H56 / Assumptions!H63, 0) * Assumptions!H66</f>
        <v>154700</v>
      </c>
      <c r="I32" s="19" t="n">
        <f aca="false">IFERROR(Assumptions!$B$56 * Assumptions!I56 / Assumptions!I63, 0) * Assumptions!I66</f>
        <v>154700</v>
      </c>
      <c r="L32" s="6" t="s">
        <v>113</v>
      </c>
    </row>
    <row r="33" customFormat="false" ht="15" hidden="false" customHeight="false" outlineLevel="0" collapsed="false">
      <c r="A33" s="3" t="s">
        <v>296</v>
      </c>
      <c r="C33" s="19" t="n">
        <f aca="false">IFERROR(Assumptions!$B$57 * Assumptions!C57 / Assumptions!C63, 0) * Assumptions!C66</f>
        <v>0</v>
      </c>
      <c r="D33" s="19" t="n">
        <f aca="false">IFERROR(Assumptions!$B$57 * Assumptions!D57 / Assumptions!D63, 0) * Assumptions!D66</f>
        <v>21130.8411214953</v>
      </c>
      <c r="E33" s="19" t="n">
        <f aca="false">IFERROR(Assumptions!$B$57 * Assumptions!E57 / Assumptions!E63, 0) * Assumptions!E66</f>
        <v>47600</v>
      </c>
      <c r="F33" s="19" t="n">
        <f aca="false">IFERROR(Assumptions!$B$57 * Assumptions!F57 / Assumptions!F63, 0) * Assumptions!F66</f>
        <v>47600</v>
      </c>
      <c r="G33" s="19" t="n">
        <f aca="false">IFERROR(Assumptions!$B$57 * Assumptions!G57 / Assumptions!G63, 0) * Assumptions!G66</f>
        <v>47600</v>
      </c>
      <c r="H33" s="19" t="n">
        <f aca="false">IFERROR(Assumptions!$B$57 * Assumptions!H57 / Assumptions!H63, 0) * Assumptions!H66</f>
        <v>47600</v>
      </c>
      <c r="I33" s="19" t="n">
        <f aca="false">IFERROR(Assumptions!$B$57 * Assumptions!I57 / Assumptions!I63, 0) * Assumptions!I66</f>
        <v>47600</v>
      </c>
      <c r="L33" s="6" t="s">
        <v>113</v>
      </c>
    </row>
    <row r="34" customFormat="false" ht="15" hidden="false" customHeight="false" outlineLevel="0" collapsed="false">
      <c r="A34" s="3" t="s">
        <v>297</v>
      </c>
      <c r="C34" s="19" t="n">
        <f aca="false">Assumptions!C86 * Scenarios!$B$25</f>
        <v>0</v>
      </c>
      <c r="D34" s="19" t="n">
        <f aca="false">Assumptions!D86 * Scenarios!$B$25</f>
        <v>130000</v>
      </c>
      <c r="E34" s="19" t="n">
        <f aca="false">Assumptions!E86 * Scenarios!$B$25</f>
        <v>140000</v>
      </c>
      <c r="F34" s="19" t="n">
        <f aca="false">Assumptions!F86 * Scenarios!$B$25</f>
        <v>0</v>
      </c>
      <c r="G34" s="19" t="n">
        <f aca="false">Assumptions!G86 * Scenarios!$B$25</f>
        <v>0</v>
      </c>
      <c r="H34" s="19" t="n">
        <f aca="false">Assumptions!H86 * Scenarios!$B$25</f>
        <v>0</v>
      </c>
      <c r="I34" s="19" t="n">
        <f aca="false">Assumptions!I86 * Scenarios!$B$25</f>
        <v>0</v>
      </c>
      <c r="L34" s="6" t="s">
        <v>113</v>
      </c>
      <c r="M34" s="6" t="s">
        <v>298</v>
      </c>
    </row>
    <row r="35" customFormat="false" ht="15" hidden="false" customHeight="false" outlineLevel="0" collapsed="false">
      <c r="A35" s="3" t="s">
        <v>299</v>
      </c>
      <c r="C35" s="19" t="n">
        <f aca="false">Assumptions!C87 * Scenarios!$B$25</f>
        <v>0</v>
      </c>
      <c r="D35" s="19" t="n">
        <f aca="false">Assumptions!D87 * Scenarios!$B$25</f>
        <v>0</v>
      </c>
      <c r="E35" s="19" t="n">
        <f aca="false">Assumptions!E87 * Scenarios!$B$25</f>
        <v>0</v>
      </c>
      <c r="F35" s="19" t="n">
        <f aca="false">Assumptions!F87 * Scenarios!$B$25</f>
        <v>55000</v>
      </c>
      <c r="G35" s="19" t="n">
        <f aca="false">Assumptions!G87 * Scenarios!$B$25</f>
        <v>55000</v>
      </c>
      <c r="H35" s="19" t="n">
        <f aca="false">Assumptions!H87 * Scenarios!$B$25</f>
        <v>60000</v>
      </c>
      <c r="I35" s="19" t="n">
        <f aca="false">Assumptions!I87 * Scenarios!$B$25</f>
        <v>65000</v>
      </c>
      <c r="L35" s="6" t="s">
        <v>113</v>
      </c>
      <c r="M35" s="6" t="s">
        <v>300</v>
      </c>
    </row>
    <row r="36" customFormat="false" ht="15" hidden="false" customHeight="false" outlineLevel="0" collapsed="false">
      <c r="A36" s="14" t="s">
        <v>301</v>
      </c>
      <c r="B36" s="15"/>
      <c r="C36" s="16" t="n">
        <f aca="false">SUM(C32:C35)</f>
        <v>0</v>
      </c>
      <c r="D36" s="16" t="n">
        <f aca="false">SUM(D32:D35)</f>
        <v>185468.457943925</v>
      </c>
      <c r="E36" s="16" t="n">
        <f aca="false">SUM(E32:E35)</f>
        <v>264950</v>
      </c>
      <c r="F36" s="16" t="n">
        <f aca="false">SUM(F32:F35)</f>
        <v>218625</v>
      </c>
      <c r="G36" s="16" t="n">
        <f aca="false">SUM(G32:G35)</f>
        <v>257300</v>
      </c>
      <c r="H36" s="16" t="n">
        <f aca="false">SUM(H32:H35)</f>
        <v>262300</v>
      </c>
      <c r="I36" s="16" t="n">
        <f aca="false">SUM(I32:I35)</f>
        <v>267300</v>
      </c>
      <c r="J36" s="15"/>
      <c r="K36" s="15"/>
      <c r="L36" s="17" t="s">
        <v>113</v>
      </c>
      <c r="M36" s="15"/>
    </row>
    <row r="38" customFormat="false" ht="19.5" hidden="false" customHeight="true" outlineLevel="0" collapsed="false">
      <c r="A38" s="7" t="s">
        <v>302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customFormat="false" ht="15" hidden="false" customHeight="false" outlineLevel="0" collapsed="false">
      <c r="A39" s="3" t="s">
        <v>303</v>
      </c>
      <c r="C39" s="19" t="n">
        <f aca="false">IFERROR(Assumptions!$B$58 * Assumptions!C58 / Assumptions!C63, 0) * Assumptions!C66</f>
        <v>0</v>
      </c>
      <c r="D39" s="19" t="n">
        <f aca="false">IFERROR(Assumptions!$B$58 * Assumptions!D58 / Assumptions!D63, 0) * Assumptions!D66</f>
        <v>0</v>
      </c>
      <c r="E39" s="19" t="n">
        <f aca="false">IFERROR(Assumptions!$B$58 * Assumptions!E58 / Assumptions!E63, 0) * Assumptions!E66</f>
        <v>57120</v>
      </c>
      <c r="F39" s="19" t="n">
        <f aca="false">IFERROR(Assumptions!$B$58 * Assumptions!F58 / Assumptions!F63, 0) * Assumptions!F66</f>
        <v>114240</v>
      </c>
      <c r="G39" s="19" t="n">
        <f aca="false">IFERROR(Assumptions!$B$58 * Assumptions!G58 / Assumptions!G63, 0) * Assumptions!G66</f>
        <v>171360</v>
      </c>
      <c r="H39" s="19" t="n">
        <f aca="false">IFERROR(Assumptions!$B$58 * Assumptions!H58 / Assumptions!H63, 0) * Assumptions!H66</f>
        <v>171360</v>
      </c>
      <c r="I39" s="19" t="n">
        <f aca="false">IFERROR(Assumptions!$B$58 * Assumptions!I58 / Assumptions!I63, 0) * Assumptions!I66</f>
        <v>171360</v>
      </c>
      <c r="L39" s="6" t="s">
        <v>113</v>
      </c>
    </row>
    <row r="40" customFormat="false" ht="15" hidden="false" customHeight="false" outlineLevel="0" collapsed="false">
      <c r="A40" s="3" t="s">
        <v>304</v>
      </c>
      <c r="C40" s="19" t="n">
        <f aca="false">IFERROR(Assumptions!$B$60 * Assumptions!C60 / Assumptions!C63, 0) * Assumptions!C66</f>
        <v>0</v>
      </c>
      <c r="D40" s="19" t="n">
        <f aca="false">IFERROR(Assumptions!$B$60 * Assumptions!D60 / Assumptions!D63, 0) * Assumptions!D66</f>
        <v>0</v>
      </c>
      <c r="E40" s="19" t="n">
        <f aca="false">IFERROR(Assumptions!$B$60 * Assumptions!E60 / Assumptions!E63, 0) * Assumptions!E66</f>
        <v>0</v>
      </c>
      <c r="F40" s="19" t="n">
        <f aca="false">IFERROR(Assumptions!$B$60 * Assumptions!F60 / Assumptions!F63, 0) * Assumptions!F66</f>
        <v>19040</v>
      </c>
      <c r="G40" s="19" t="n">
        <f aca="false">IFERROR(Assumptions!$B$60 * Assumptions!G60 / Assumptions!G63, 0) * Assumptions!G66</f>
        <v>38080</v>
      </c>
      <c r="H40" s="19" t="n">
        <f aca="false">IFERROR(Assumptions!$B$60 * Assumptions!H60 / Assumptions!H63, 0) * Assumptions!H66</f>
        <v>57120</v>
      </c>
      <c r="I40" s="19" t="n">
        <f aca="false">IFERROR(Assumptions!$B$60 * Assumptions!I60 / Assumptions!I63, 0) * Assumptions!I66</f>
        <v>76160</v>
      </c>
      <c r="L40" s="6" t="s">
        <v>113</v>
      </c>
    </row>
    <row r="41" customFormat="false" ht="15" hidden="false" customHeight="false" outlineLevel="0" collapsed="false">
      <c r="A41" s="3" t="s">
        <v>305</v>
      </c>
      <c r="C41" s="27" t="n">
        <f aca="false">Assumptions!C68</f>
        <v>0</v>
      </c>
      <c r="D41" s="27" t="n">
        <f aca="false">Assumptions!D68</f>
        <v>0</v>
      </c>
      <c r="E41" s="27" t="n">
        <f aca="false">Assumptions!E68</f>
        <v>8100</v>
      </c>
      <c r="F41" s="27" t="n">
        <f aca="false">Assumptions!F68</f>
        <v>24300</v>
      </c>
      <c r="G41" s="27" t="n">
        <f aca="false">Assumptions!G68</f>
        <v>40500</v>
      </c>
      <c r="H41" s="27" t="n">
        <f aca="false">Assumptions!H68</f>
        <v>108000</v>
      </c>
      <c r="I41" s="27" t="n">
        <f aca="false">Assumptions!I68</f>
        <v>202500</v>
      </c>
      <c r="L41" s="6" t="s">
        <v>113</v>
      </c>
    </row>
    <row r="42" customFormat="false" ht="15" hidden="false" customHeight="false" outlineLevel="0" collapsed="false">
      <c r="A42" s="3" t="s">
        <v>306</v>
      </c>
      <c r="C42" s="19" t="n">
        <f aca="false">Assumptions!C73 * Scenarios!$B$24</f>
        <v>5000</v>
      </c>
      <c r="D42" s="19" t="n">
        <f aca="false">Assumptions!D73 * Scenarios!$B$24</f>
        <v>10000</v>
      </c>
      <c r="E42" s="19" t="n">
        <f aca="false">Assumptions!E73 * Scenarios!$B$24</f>
        <v>25000</v>
      </c>
      <c r="F42" s="19" t="n">
        <f aca="false">Assumptions!F73 * Scenarios!$B$24</f>
        <v>50000</v>
      </c>
      <c r="G42" s="19" t="n">
        <f aca="false">Assumptions!G73 * Scenarios!$B$24</f>
        <v>150000</v>
      </c>
      <c r="H42" s="19" t="n">
        <f aca="false">Assumptions!H73 * Scenarios!$B$24</f>
        <v>300000</v>
      </c>
      <c r="I42" s="19" t="n">
        <f aca="false">Assumptions!I73 * Scenarios!$B$24</f>
        <v>500000</v>
      </c>
      <c r="L42" s="6" t="s">
        <v>113</v>
      </c>
      <c r="M42" s="6" t="s">
        <v>307</v>
      </c>
    </row>
    <row r="43" customFormat="false" ht="15" hidden="false" customHeight="false" outlineLevel="0" collapsed="false">
      <c r="A43" s="14" t="s">
        <v>308</v>
      </c>
      <c r="B43" s="15"/>
      <c r="C43" s="16" t="n">
        <f aca="false">SUM(C39:C42)</f>
        <v>5000</v>
      </c>
      <c r="D43" s="16" t="n">
        <f aca="false">SUM(D39:D42)</f>
        <v>10000</v>
      </c>
      <c r="E43" s="16" t="n">
        <f aca="false">SUM(E39:E42)</f>
        <v>90220</v>
      </c>
      <c r="F43" s="16" t="n">
        <f aca="false">SUM(F39:F42)</f>
        <v>207580</v>
      </c>
      <c r="G43" s="16" t="n">
        <f aca="false">SUM(G39:G42)</f>
        <v>399940</v>
      </c>
      <c r="H43" s="16" t="n">
        <f aca="false">SUM(H39:H42)</f>
        <v>636480</v>
      </c>
      <c r="I43" s="16" t="n">
        <f aca="false">SUM(I39:I42)</f>
        <v>950020</v>
      </c>
      <c r="J43" s="15"/>
      <c r="K43" s="15"/>
      <c r="L43" s="17" t="s">
        <v>113</v>
      </c>
      <c r="M43" s="15"/>
    </row>
    <row r="45" customFormat="false" ht="19.5" hidden="false" customHeight="true" outlineLevel="0" collapsed="false">
      <c r="A45" s="7" t="s">
        <v>309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customFormat="false" ht="15" hidden="false" customHeight="false" outlineLevel="0" collapsed="false">
      <c r="A46" s="3" t="s">
        <v>310</v>
      </c>
      <c r="C46" s="19" t="n">
        <f aca="false">IFERROR(Assumptions!$B$54 * Assumptions!C54 / Assumptions!C63, 0) * Assumptions!C66</f>
        <v>51197.6744186047</v>
      </c>
      <c r="D46" s="19" t="n">
        <f aca="false">IFERROR(Assumptions!$B$54 * Assumptions!D54 / Assumptions!D63, 0) * Assumptions!D66</f>
        <v>52827.1028037383</v>
      </c>
      <c r="E46" s="19" t="n">
        <f aca="false">IFERROR(Assumptions!$B$54 * Assumptions!E54 / Assumptions!E63, 0) * Assumptions!E66</f>
        <v>59500</v>
      </c>
      <c r="F46" s="19" t="n">
        <f aca="false">IFERROR(Assumptions!$B$54 * Assumptions!F54 / Assumptions!F63, 0) * Assumptions!F66</f>
        <v>59500</v>
      </c>
      <c r="G46" s="19" t="n">
        <f aca="false">IFERROR(Assumptions!$B$54 * Assumptions!G54 / Assumptions!G63, 0) * Assumptions!G66</f>
        <v>59500</v>
      </c>
      <c r="H46" s="19" t="n">
        <f aca="false">IFERROR(Assumptions!$B$54 * Assumptions!H54 / Assumptions!H63, 0) * Assumptions!H66</f>
        <v>59500</v>
      </c>
      <c r="I46" s="19" t="n">
        <f aca="false">IFERROR(Assumptions!$B$54 * Assumptions!I54 / Assumptions!I63, 0) * Assumptions!I66</f>
        <v>59500</v>
      </c>
      <c r="L46" s="6" t="s">
        <v>113</v>
      </c>
    </row>
    <row r="47" customFormat="false" ht="15" hidden="false" customHeight="false" outlineLevel="0" collapsed="false">
      <c r="A47" s="3" t="s">
        <v>311</v>
      </c>
      <c r="C47" s="19" t="n">
        <f aca="false">IFERROR(Assumptions!$B$59 * Assumptions!C59 / Assumptions!C63, 0) * Assumptions!C66</f>
        <v>0</v>
      </c>
      <c r="D47" s="19" t="n">
        <f aca="false">IFERROR(Assumptions!$B$59 * Assumptions!D59 / Assumptions!D63, 0) * Assumptions!D66</f>
        <v>0</v>
      </c>
      <c r="E47" s="19" t="n">
        <f aca="false">IFERROR(Assumptions!$B$59 * Assumptions!E59 / Assumptions!E63, 0) * Assumptions!E66</f>
        <v>0</v>
      </c>
      <c r="F47" s="19" t="n">
        <f aca="false">IFERROR(Assumptions!$B$59 * Assumptions!F59 / Assumptions!F63, 0) * Assumptions!F66</f>
        <v>53550</v>
      </c>
      <c r="G47" s="19" t="n">
        <f aca="false">IFERROR(Assumptions!$B$59 * Assumptions!G59 / Assumptions!G63, 0) * Assumptions!G66</f>
        <v>53550</v>
      </c>
      <c r="H47" s="19" t="n">
        <f aca="false">IFERROR(Assumptions!$B$59 * Assumptions!H59 / Assumptions!H63, 0) * Assumptions!H66</f>
        <v>53550</v>
      </c>
      <c r="I47" s="19" t="n">
        <f aca="false">IFERROR(Assumptions!$B$59 * Assumptions!I59 / Assumptions!I63, 0) * Assumptions!I66</f>
        <v>53550</v>
      </c>
      <c r="L47" s="6" t="s">
        <v>113</v>
      </c>
    </row>
    <row r="48" customFormat="false" ht="15" hidden="false" customHeight="false" outlineLevel="0" collapsed="false">
      <c r="A48" s="3" t="s">
        <v>312</v>
      </c>
      <c r="C48" s="19" t="n">
        <f aca="false">IFERROR(Assumptions!$B$61 * Assumptions!C61 / Assumptions!C63, 0) * Assumptions!C66</f>
        <v>0</v>
      </c>
      <c r="D48" s="19" t="n">
        <f aca="false">IFERROR(Assumptions!$B$61 * Assumptions!D61 / Assumptions!D63, 0) * Assumptions!D66</f>
        <v>0</v>
      </c>
      <c r="E48" s="19" t="n">
        <f aca="false">IFERROR(Assumptions!$B$61 * Assumptions!E61 / Assumptions!E63, 0) * Assumptions!E66</f>
        <v>0</v>
      </c>
      <c r="F48" s="19" t="n">
        <f aca="false">IFERROR(Assumptions!$B$61 * Assumptions!F61 / Assumptions!F63, 0) * Assumptions!F66</f>
        <v>0</v>
      </c>
      <c r="G48" s="19" t="n">
        <f aca="false">IFERROR(Assumptions!$B$61 * Assumptions!G61 / Assumptions!G63, 0) * Assumptions!G66</f>
        <v>0</v>
      </c>
      <c r="H48" s="19" t="n">
        <f aca="false">IFERROR(Assumptions!$B$61 * Assumptions!H61 / Assumptions!H63, 0) * Assumptions!H66</f>
        <v>0</v>
      </c>
      <c r="I48" s="19" t="n">
        <f aca="false">IFERROR(Assumptions!$B$61 * Assumptions!I61 / Assumptions!I63, 0) * Assumptions!I66</f>
        <v>0</v>
      </c>
      <c r="L48" s="6" t="s">
        <v>113</v>
      </c>
    </row>
    <row r="49" customFormat="false" ht="15" hidden="false" customHeight="false" outlineLevel="0" collapsed="false">
      <c r="A49" s="3" t="s">
        <v>132</v>
      </c>
      <c r="C49" s="27" t="n">
        <f aca="false">Assumptions!C74</f>
        <v>8000</v>
      </c>
      <c r="D49" s="27" t="n">
        <f aca="false">Assumptions!D74</f>
        <v>12000</v>
      </c>
      <c r="E49" s="27" t="n">
        <f aca="false">Assumptions!E74</f>
        <v>25000</v>
      </c>
      <c r="F49" s="27" t="n">
        <f aca="false">Assumptions!F74</f>
        <v>40000</v>
      </c>
      <c r="G49" s="27" t="n">
        <f aca="false">Assumptions!G74</f>
        <v>55000</v>
      </c>
      <c r="H49" s="27" t="n">
        <f aca="false">Assumptions!H74</f>
        <v>70000</v>
      </c>
      <c r="I49" s="27" t="n">
        <f aca="false">Assumptions!I74</f>
        <v>85000</v>
      </c>
      <c r="L49" s="6" t="s">
        <v>113</v>
      </c>
    </row>
    <row r="50" customFormat="false" ht="15" hidden="false" customHeight="false" outlineLevel="0" collapsed="false">
      <c r="A50" s="3" t="s">
        <v>133</v>
      </c>
      <c r="C50" s="27" t="n">
        <f aca="false">Assumptions!C75</f>
        <v>10000</v>
      </c>
      <c r="D50" s="27" t="n">
        <f aca="false">Assumptions!D75</f>
        <v>15000</v>
      </c>
      <c r="E50" s="27" t="n">
        <f aca="false">Assumptions!E75</f>
        <v>30000</v>
      </c>
      <c r="F50" s="27" t="n">
        <f aca="false">Assumptions!F75</f>
        <v>40000</v>
      </c>
      <c r="G50" s="27" t="n">
        <f aca="false">Assumptions!G75</f>
        <v>50000</v>
      </c>
      <c r="H50" s="27" t="n">
        <f aca="false">Assumptions!H75</f>
        <v>60000</v>
      </c>
      <c r="I50" s="27" t="n">
        <f aca="false">Assumptions!I75</f>
        <v>70000</v>
      </c>
      <c r="L50" s="6" t="s">
        <v>113</v>
      </c>
    </row>
    <row r="51" customFormat="false" ht="15" hidden="false" customHeight="false" outlineLevel="0" collapsed="false">
      <c r="A51" s="3" t="s">
        <v>313</v>
      </c>
      <c r="C51" s="27" t="n">
        <f aca="false">Assumptions!C76</f>
        <v>6000</v>
      </c>
      <c r="D51" s="27" t="n">
        <f aca="false">Assumptions!D76</f>
        <v>10000</v>
      </c>
      <c r="E51" s="27" t="n">
        <f aca="false">Assumptions!E76</f>
        <v>20000</v>
      </c>
      <c r="F51" s="27" t="n">
        <f aca="false">Assumptions!F76</f>
        <v>35000</v>
      </c>
      <c r="G51" s="27" t="n">
        <f aca="false">Assumptions!G76</f>
        <v>55000</v>
      </c>
      <c r="H51" s="27" t="n">
        <f aca="false">Assumptions!H76</f>
        <v>75000</v>
      </c>
      <c r="I51" s="27" t="n">
        <f aca="false">Assumptions!I76</f>
        <v>95000</v>
      </c>
      <c r="L51" s="6" t="s">
        <v>113</v>
      </c>
    </row>
    <row r="52" customFormat="false" ht="15" hidden="false" customHeight="false" outlineLevel="0" collapsed="false">
      <c r="A52" s="3" t="s">
        <v>314</v>
      </c>
      <c r="C52" s="27" t="n">
        <f aca="false">Assumptions!C80</f>
        <v>0</v>
      </c>
      <c r="D52" s="27" t="n">
        <f aca="false">Assumptions!D80</f>
        <v>20000</v>
      </c>
      <c r="E52" s="27" t="n">
        <f aca="false">Assumptions!E80</f>
        <v>24000</v>
      </c>
      <c r="F52" s="27" t="n">
        <f aca="false">Assumptions!F80</f>
        <v>35000</v>
      </c>
      <c r="G52" s="27" t="n">
        <f aca="false">Assumptions!G80</f>
        <v>45000</v>
      </c>
      <c r="H52" s="27" t="n">
        <f aca="false">Assumptions!H80</f>
        <v>55000</v>
      </c>
      <c r="I52" s="27" t="n">
        <f aca="false">Assumptions!I80</f>
        <v>65000</v>
      </c>
      <c r="L52" s="6" t="s">
        <v>113</v>
      </c>
    </row>
    <row r="53" customFormat="false" ht="15" hidden="false" customHeight="false" outlineLevel="0" collapsed="false">
      <c r="A53" s="3" t="s">
        <v>315</v>
      </c>
      <c r="C53" s="27" t="n">
        <f aca="false">Assumptions!C83</f>
        <v>6000</v>
      </c>
      <c r="D53" s="27" t="n">
        <f aca="false">Assumptions!D83</f>
        <v>12000</v>
      </c>
      <c r="E53" s="27" t="n">
        <f aca="false">Assumptions!E83</f>
        <v>20000</v>
      </c>
      <c r="F53" s="27" t="n">
        <f aca="false">Assumptions!F83</f>
        <v>28000</v>
      </c>
      <c r="G53" s="27" t="n">
        <f aca="false">Assumptions!G83</f>
        <v>36000</v>
      </c>
      <c r="H53" s="27" t="n">
        <f aca="false">Assumptions!H83</f>
        <v>44000</v>
      </c>
      <c r="I53" s="27" t="n">
        <f aca="false">Assumptions!I83</f>
        <v>50000</v>
      </c>
      <c r="L53" s="6" t="s">
        <v>113</v>
      </c>
    </row>
    <row r="54" customFormat="false" ht="15" hidden="false" customHeight="false" outlineLevel="0" collapsed="false">
      <c r="A54" s="14" t="s">
        <v>316</v>
      </c>
      <c r="B54" s="15"/>
      <c r="C54" s="16" t="n">
        <f aca="false">SUM(C46:C53)</f>
        <v>81197.6744186046</v>
      </c>
      <c r="D54" s="16" t="n">
        <f aca="false">SUM(D46:D53)</f>
        <v>121827.102803738</v>
      </c>
      <c r="E54" s="16" t="n">
        <f aca="false">SUM(E46:E53)</f>
        <v>178500</v>
      </c>
      <c r="F54" s="16" t="n">
        <f aca="false">SUM(F46:F53)</f>
        <v>291050</v>
      </c>
      <c r="G54" s="16" t="n">
        <f aca="false">SUM(G46:G53)</f>
        <v>354050</v>
      </c>
      <c r="H54" s="16" t="n">
        <f aca="false">SUM(H46:H53)</f>
        <v>417050</v>
      </c>
      <c r="I54" s="16" t="n">
        <f aca="false">SUM(I46:I53)</f>
        <v>478050</v>
      </c>
      <c r="J54" s="15"/>
      <c r="K54" s="15"/>
      <c r="L54" s="17" t="s">
        <v>113</v>
      </c>
      <c r="M54" s="15"/>
    </row>
    <row r="56" customFormat="false" ht="15" hidden="false" customHeight="false" outlineLevel="0" collapsed="false">
      <c r="A56" s="14" t="s">
        <v>317</v>
      </c>
      <c r="B56" s="15"/>
      <c r="C56" s="16" t="n">
        <f aca="false">C29 + C36 + C43 + C54</f>
        <v>270150</v>
      </c>
      <c r="D56" s="16" t="n">
        <f aca="false">D29 + D36 + D43 + D54</f>
        <v>511625</v>
      </c>
      <c r="E56" s="16" t="n">
        <f aca="false">E29 + E36 + E43 + E54</f>
        <v>820470</v>
      </c>
      <c r="F56" s="16" t="n">
        <f aca="false">F29 + F36 + F43 + F54</f>
        <v>1074505</v>
      </c>
      <c r="G56" s="16" t="n">
        <f aca="false">G29 + G36 + G43 + G54</f>
        <v>1433990</v>
      </c>
      <c r="H56" s="16" t="n">
        <f aca="false">H29 + H36 + H43 + H54</f>
        <v>1803980</v>
      </c>
      <c r="I56" s="16" t="n">
        <f aca="false">I29 + I36 + I43 + I54</f>
        <v>2248970</v>
      </c>
      <c r="J56" s="15"/>
      <c r="K56" s="15"/>
      <c r="L56" s="17" t="s">
        <v>113</v>
      </c>
      <c r="M56" s="15"/>
    </row>
    <row r="58" customFormat="false" ht="15" hidden="false" customHeight="false" outlineLevel="0" collapsed="false">
      <c r="A58" s="14" t="s">
        <v>318</v>
      </c>
      <c r="B58" s="15"/>
      <c r="C58" s="16" t="n">
        <f aca="false">C23 - C56</f>
        <v>-270150</v>
      </c>
      <c r="D58" s="16" t="n">
        <f aca="false">D23 - D56</f>
        <v>-511625</v>
      </c>
      <c r="E58" s="16" t="n">
        <f aca="false">E23 - E56</f>
        <v>-796710</v>
      </c>
      <c r="F58" s="16" t="n">
        <f aca="false">F23 - F56</f>
        <v>-959620</v>
      </c>
      <c r="G58" s="16" t="n">
        <f aca="false">G23 - G56</f>
        <v>-970260.5</v>
      </c>
      <c r="H58" s="16" t="n">
        <f aca="false">H23 - H56</f>
        <v>-748421.45</v>
      </c>
      <c r="I58" s="16" t="n">
        <f aca="false">I23 - I56</f>
        <v>149150.695</v>
      </c>
      <c r="J58" s="15"/>
      <c r="K58" s="15"/>
      <c r="L58" s="17" t="s">
        <v>113</v>
      </c>
      <c r="M58" s="15"/>
    </row>
    <row r="59" customFormat="false" ht="15" hidden="false" customHeight="false" outlineLevel="0" collapsed="false">
      <c r="A59" s="3" t="s">
        <v>319</v>
      </c>
      <c r="C59" s="28" t="n">
        <f aca="false">IFERROR(C58/C14, 0)</f>
        <v>0</v>
      </c>
      <c r="D59" s="28" t="n">
        <f aca="false">IFERROR(D58/D14, 0)</f>
        <v>0</v>
      </c>
      <c r="E59" s="28" t="n">
        <f aca="false">IFERROR(E58/E14, 0)</f>
        <v>-14.9029180695847</v>
      </c>
      <c r="F59" s="28" t="n">
        <f aca="false">IFERROR(F58/F14, 0)</f>
        <v>-4.5333522297808</v>
      </c>
      <c r="G59" s="28" t="n">
        <f aca="false">IFERROR(G58/G14, 0)</f>
        <v>-1.25450011895157</v>
      </c>
      <c r="H59" s="28" t="n">
        <f aca="false">IFERROR(H58/H14, 0)</f>
        <v>-0.434159715611493</v>
      </c>
      <c r="I59" s="28" t="n">
        <f aca="false">IFERROR(I58/I14, 0)</f>
        <v>0.0374848751181435</v>
      </c>
      <c r="L59" s="6" t="s">
        <v>75</v>
      </c>
    </row>
    <row r="61" customFormat="false" ht="15" hidden="false" customHeight="false" outlineLevel="0" collapsed="false">
      <c r="A61" s="3" t="s">
        <v>320</v>
      </c>
      <c r="C61" s="27" t="n">
        <f aca="false">Assumptions!C105</f>
        <v>1300</v>
      </c>
      <c r="D61" s="27" t="n">
        <f aca="false">Assumptions!D105</f>
        <v>2500</v>
      </c>
      <c r="E61" s="27" t="n">
        <f aca="false">Assumptions!E105</f>
        <v>5500</v>
      </c>
      <c r="F61" s="27" t="n">
        <f aca="false">Assumptions!F105</f>
        <v>9500</v>
      </c>
      <c r="G61" s="27" t="n">
        <f aca="false">Assumptions!G105</f>
        <v>15500</v>
      </c>
      <c r="H61" s="27" t="n">
        <f aca="false">Assumptions!H105</f>
        <v>16600</v>
      </c>
      <c r="I61" s="27" t="n">
        <f aca="false">Assumptions!I105</f>
        <v>18542.8571428571</v>
      </c>
      <c r="L61" s="6" t="s">
        <v>113</v>
      </c>
    </row>
    <row r="63" customFormat="false" ht="15" hidden="false" customHeight="false" outlineLevel="0" collapsed="false">
      <c r="A63" s="14" t="s">
        <v>321</v>
      </c>
      <c r="B63" s="15"/>
      <c r="C63" s="16" t="n">
        <f aca="false">C58 - C61</f>
        <v>-271450</v>
      </c>
      <c r="D63" s="16" t="n">
        <f aca="false">D58 - D61</f>
        <v>-514125</v>
      </c>
      <c r="E63" s="16" t="n">
        <f aca="false">E58 - E61</f>
        <v>-802210</v>
      </c>
      <c r="F63" s="16" t="n">
        <f aca="false">F58 - F61</f>
        <v>-969120</v>
      </c>
      <c r="G63" s="16" t="n">
        <f aca="false">G58 - G61</f>
        <v>-985760.5</v>
      </c>
      <c r="H63" s="16" t="n">
        <f aca="false">H58 - H61</f>
        <v>-765021.45</v>
      </c>
      <c r="I63" s="16" t="n">
        <f aca="false">I58 - I61</f>
        <v>130607.837857143</v>
      </c>
      <c r="J63" s="15"/>
      <c r="K63" s="15"/>
      <c r="L63" s="17" t="s">
        <v>113</v>
      </c>
      <c r="M63" s="15"/>
    </row>
    <row r="64" customFormat="false" ht="15" hidden="false" customHeight="false" outlineLevel="0" collapsed="false">
      <c r="A64" s="3" t="s">
        <v>322</v>
      </c>
      <c r="C64" s="19" t="n">
        <f aca="false">'Cash flow'!C38 * Assumptions!$B$124</f>
        <v>0</v>
      </c>
      <c r="D64" s="19" t="n">
        <f aca="false">'Cash flow'!D38 * Assumptions!$B$124</f>
        <v>22534.7838928958</v>
      </c>
      <c r="E64" s="19" t="n">
        <f aca="false">'Cash flow'!E38 * Assumptions!$B$124</f>
        <v>9514.10175560512</v>
      </c>
      <c r="F64" s="19" t="n">
        <f aca="false">'Cash flow'!F38 * Assumptions!$B$124</f>
        <v>40037.0875753966</v>
      </c>
      <c r="G64" s="19" t="n">
        <f aca="false">'Cash flow'!G38 * Assumptions!$B$124</f>
        <v>14294.940936905</v>
      </c>
      <c r="H64" s="19" t="n">
        <f aca="false">'Cash flow'!H38 * Assumptions!$B$124</f>
        <v>31164.8923184368</v>
      </c>
      <c r="I64" s="19" t="n">
        <f aca="false">'Cash flow'!I38 * Assumptions!$B$124</f>
        <v>14742.7328619626</v>
      </c>
      <c r="L64" s="6" t="s">
        <v>113</v>
      </c>
      <c r="M64" s="6" t="s">
        <v>323</v>
      </c>
    </row>
    <row r="65" customFormat="false" ht="19.5" hidden="false" customHeight="true" outlineLevel="0" collapsed="false">
      <c r="A65" s="7" t="s">
        <v>324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customFormat="false" ht="15" hidden="false" customHeight="false" outlineLevel="0" collapsed="false">
      <c r="A66" s="3" t="s">
        <v>325</v>
      </c>
      <c r="C66" s="19" t="n">
        <f aca="true">OFFSET(C66, 7, -1)</f>
        <v>0</v>
      </c>
      <c r="D66" s="19" t="n">
        <f aca="true">OFFSET(D66, 7, -1)</f>
        <v>271450</v>
      </c>
      <c r="E66" s="19" t="n">
        <f aca="true">OFFSET(E66, 7, -1)</f>
        <v>763040.216107104</v>
      </c>
      <c r="F66" s="19" t="n">
        <f aca="true">OFFSET(F66, 7, -1)</f>
        <v>1555736.1143515</v>
      </c>
      <c r="G66" s="19" t="n">
        <f aca="true">OFFSET(G66, 7, -1)</f>
        <v>2484819.0267761</v>
      </c>
      <c r="H66" s="19" t="n">
        <f aca="true">OFFSET(H66, 7, -1)</f>
        <v>3456284.5858392</v>
      </c>
      <c r="I66" s="19" t="n">
        <f aca="true">OFFSET(I66, 7, -1)</f>
        <v>4190141.14352076</v>
      </c>
      <c r="L66" s="6" t="s">
        <v>113</v>
      </c>
      <c r="M66" s="6" t="s">
        <v>326</v>
      </c>
    </row>
    <row r="67" customFormat="false" ht="15" hidden="false" customHeight="false" outlineLevel="0" collapsed="false">
      <c r="A67" s="3" t="s">
        <v>327</v>
      </c>
      <c r="C67" s="19" t="n">
        <f aca="false">MIN(C66, MAX(0, C63 + C64))</f>
        <v>0</v>
      </c>
      <c r="D67" s="19" t="n">
        <f aca="false">MIN(D66, MAX(0, D63 + D64))</f>
        <v>0</v>
      </c>
      <c r="E67" s="19" t="n">
        <f aca="false">MIN(E66, MAX(0, E63 + E64))</f>
        <v>0</v>
      </c>
      <c r="F67" s="19" t="n">
        <f aca="false">MIN(F66, MAX(0, F63 + F64))</f>
        <v>0</v>
      </c>
      <c r="G67" s="19" t="n">
        <f aca="false">MIN(G66, MAX(0, G63 + G64))</f>
        <v>0</v>
      </c>
      <c r="H67" s="19" t="n">
        <f aca="false">MIN(H66, MAX(0, H63 + H64))</f>
        <v>0</v>
      </c>
      <c r="I67" s="19" t="n">
        <f aca="false">MIN(I66, MAX(0, I63 + I64))</f>
        <v>145350.570719106</v>
      </c>
      <c r="L67" s="6" t="s">
        <v>113</v>
      </c>
      <c r="M67" s="6" t="s">
        <v>328</v>
      </c>
    </row>
    <row r="68" customFormat="false" ht="15" hidden="false" customHeight="false" outlineLevel="0" collapsed="false">
      <c r="A68" s="3" t="s">
        <v>329</v>
      </c>
      <c r="C68" s="19" t="n">
        <f aca="false">MAX(0, C63 + C64 - C67)</f>
        <v>0</v>
      </c>
      <c r="D68" s="19" t="n">
        <f aca="false">MAX(0, D63 + D64 - D67)</f>
        <v>0</v>
      </c>
      <c r="E68" s="19" t="n">
        <f aca="false">MAX(0, E63 + E64 - E67)</f>
        <v>0</v>
      </c>
      <c r="F68" s="19" t="n">
        <f aca="false">MAX(0, F63 + F64 - F67)</f>
        <v>0</v>
      </c>
      <c r="G68" s="19" t="n">
        <f aca="false">MAX(0, G63 + G64 - G67)</f>
        <v>0</v>
      </c>
      <c r="H68" s="19" t="n">
        <f aca="false">MAX(0, H63 + H64 - H67)</f>
        <v>0</v>
      </c>
      <c r="I68" s="19" t="n">
        <f aca="false">MAX(0, I63 + I64 - I67)</f>
        <v>0</v>
      </c>
      <c r="L68" s="6" t="s">
        <v>113</v>
      </c>
      <c r="M68" s="6" t="s">
        <v>330</v>
      </c>
    </row>
    <row r="69" customFormat="false" ht="15" hidden="false" customHeight="false" outlineLevel="0" collapsed="false">
      <c r="A69" s="3" t="s">
        <v>331</v>
      </c>
      <c r="C69" s="19" t="n">
        <f aca="false">C68 * Assumptions!$B$116</f>
        <v>0</v>
      </c>
      <c r="D69" s="19" t="n">
        <f aca="false">D68 * Assumptions!$B$116</f>
        <v>0</v>
      </c>
      <c r="E69" s="19" t="n">
        <f aca="false">E68 * Assumptions!$B$116</f>
        <v>0</v>
      </c>
      <c r="F69" s="19" t="n">
        <f aca="false">F68 * Assumptions!$B$116</f>
        <v>0</v>
      </c>
      <c r="G69" s="19" t="n">
        <f aca="false">G68 * Assumptions!$B$116</f>
        <v>0</v>
      </c>
      <c r="H69" s="19" t="n">
        <f aca="false">H68 * Assumptions!$B$116</f>
        <v>0</v>
      </c>
      <c r="I69" s="19" t="n">
        <f aca="false">I68 * Assumptions!$B$116</f>
        <v>0</v>
      </c>
      <c r="L69" s="6" t="s">
        <v>113</v>
      </c>
      <c r="M69" s="6" t="s">
        <v>332</v>
      </c>
    </row>
    <row r="70" customFormat="false" ht="15" hidden="false" customHeight="false" outlineLevel="0" collapsed="false">
      <c r="A70" s="3" t="s">
        <v>333</v>
      </c>
      <c r="C70" s="19" t="n">
        <f aca="false">C27*Assumptions!$B$119 + C32*Assumptions!$B$120 + C33*Assumptions!$B$121 + C28*Assumptions!$B$123 + C34*Assumptions!$B$122</f>
        <v>116371.395348837</v>
      </c>
      <c r="D70" s="19" t="n">
        <f aca="false">D27*Assumptions!$B$119 + D32*Assumptions!$B$120 + D33*Assumptions!$B$121 + D28*Assumptions!$B$123 + D34*Assumptions!$B$122</f>
        <v>209671.962616822</v>
      </c>
      <c r="E70" s="19" t="n">
        <f aca="false">E27*Assumptions!$B$119 + E32*Assumptions!$B$120 + E33*Assumptions!$B$121 + E28*Assumptions!$B$123 + E34*Assumptions!$B$122</f>
        <v>297300</v>
      </c>
      <c r="F70" s="19" t="n">
        <f aca="false">F27*Assumptions!$B$119 + F32*Assumptions!$B$120 + F33*Assumptions!$B$121 + F28*Assumptions!$B$123 + F34*Assumptions!$B$122</f>
        <v>287040</v>
      </c>
      <c r="G70" s="19" t="n">
        <f aca="false">G27*Assumptions!$B$119 + G32*Assumptions!$B$120 + G33*Assumptions!$B$121 + G28*Assumptions!$B$123 + G34*Assumptions!$B$122</f>
        <v>341780</v>
      </c>
      <c r="H70" s="19" t="n">
        <f aca="false">H27*Assumptions!$B$119 + H32*Assumptions!$B$120 + H33*Assumptions!$B$121 + H28*Assumptions!$B$123 + H34*Assumptions!$B$122</f>
        <v>381050</v>
      </c>
      <c r="I70" s="19" t="n">
        <f aca="false">I27*Assumptions!$B$119 + I32*Assumptions!$B$120 + I33*Assumptions!$B$121 + I28*Assumptions!$B$123 + I34*Assumptions!$B$122</f>
        <v>420320</v>
      </c>
      <c r="L70" s="6" t="s">
        <v>113</v>
      </c>
      <c r="M70" s="6" t="s">
        <v>334</v>
      </c>
    </row>
    <row r="71" customFormat="false" ht="15" hidden="false" customHeight="false" outlineLevel="0" collapsed="false">
      <c r="A71" s="3" t="s">
        <v>335</v>
      </c>
      <c r="C71" s="19" t="n">
        <f aca="false">-C70 * Assumptions!$B$118 * Assumptions!$B$117</f>
        <v>-21645.0795348837</v>
      </c>
      <c r="D71" s="19" t="n">
        <f aca="false">-D70 * Assumptions!$B$118 * Assumptions!$B$117</f>
        <v>-38998.985046729</v>
      </c>
      <c r="E71" s="19" t="n">
        <f aca="false">-E70 * Assumptions!$B$118 * Assumptions!$B$117</f>
        <v>-55297.8</v>
      </c>
      <c r="F71" s="19" t="n">
        <f aca="false">-F70 * Assumptions!$B$118 * Assumptions!$B$117</f>
        <v>-53389.44</v>
      </c>
      <c r="G71" s="19" t="n">
        <f aca="false">-G70 * Assumptions!$B$118 * Assumptions!$B$117</f>
        <v>-63571.08</v>
      </c>
      <c r="H71" s="19" t="n">
        <f aca="false">-H70 * Assumptions!$B$118 * Assumptions!$B$117</f>
        <v>-70875.3</v>
      </c>
      <c r="I71" s="19" t="n">
        <f aca="false">-I70 * Assumptions!$B$118 * Assumptions!$B$117</f>
        <v>-78179.52</v>
      </c>
      <c r="L71" s="6" t="s">
        <v>113</v>
      </c>
      <c r="M71" s="6" t="s">
        <v>336</v>
      </c>
    </row>
    <row r="72" customFormat="false" ht="15" hidden="false" customHeight="false" outlineLevel="0" collapsed="false">
      <c r="A72" s="14" t="s">
        <v>337</v>
      </c>
      <c r="B72" s="15"/>
      <c r="C72" s="16" t="n">
        <f aca="false">C69 + C71</f>
        <v>-21645.0795348837</v>
      </c>
      <c r="D72" s="16" t="n">
        <f aca="false">D69 + D71</f>
        <v>-38998.985046729</v>
      </c>
      <c r="E72" s="16" t="n">
        <f aca="false">E69 + E71</f>
        <v>-55297.8</v>
      </c>
      <c r="F72" s="16" t="n">
        <f aca="false">F69 + F71</f>
        <v>-53389.44</v>
      </c>
      <c r="G72" s="16" t="n">
        <f aca="false">G69 + G71</f>
        <v>-63571.08</v>
      </c>
      <c r="H72" s="16" t="n">
        <f aca="false">H69 + H71</f>
        <v>-70875.3</v>
      </c>
      <c r="I72" s="16" t="n">
        <f aca="false">I69 + I71</f>
        <v>-78179.52</v>
      </c>
      <c r="J72" s="15"/>
      <c r="K72" s="15"/>
      <c r="L72" s="17" t="s">
        <v>113</v>
      </c>
      <c r="M72" s="15"/>
    </row>
    <row r="73" customFormat="false" ht="15" hidden="false" customHeight="false" outlineLevel="0" collapsed="false">
      <c r="A73" s="3" t="s">
        <v>338</v>
      </c>
      <c r="C73" s="19" t="n">
        <f aca="false">C66 + MAX(0, -(C63 + C64)) - C67</f>
        <v>271450</v>
      </c>
      <c r="D73" s="19" t="n">
        <f aca="false">D66 + MAX(0, -(D63 + D64)) - D67</f>
        <v>763040.216107104</v>
      </c>
      <c r="E73" s="19" t="n">
        <f aca="false">E66 + MAX(0, -(E63 + E64)) - E67</f>
        <v>1555736.1143515</v>
      </c>
      <c r="F73" s="19" t="n">
        <f aca="false">F66 + MAX(0, -(F63 + F64)) - F67</f>
        <v>2484819.0267761</v>
      </c>
      <c r="G73" s="19" t="n">
        <f aca="false">G66 + MAX(0, -(G63 + G64)) - G67</f>
        <v>3456284.5858392</v>
      </c>
      <c r="H73" s="19" t="n">
        <f aca="false">H66 + MAX(0, -(H63 + H64)) - H67</f>
        <v>4190141.14352076</v>
      </c>
      <c r="I73" s="19" t="n">
        <f aca="false">I66 + MAX(0, -(I63 + I64)) - I67</f>
        <v>4044790.57280165</v>
      </c>
      <c r="L73" s="6" t="s">
        <v>113</v>
      </c>
      <c r="M73" s="6" t="s">
        <v>339</v>
      </c>
    </row>
    <row r="75" customFormat="false" ht="15" hidden="false" customHeight="false" outlineLevel="0" collapsed="false">
      <c r="A75" s="14" t="s">
        <v>340</v>
      </c>
      <c r="B75" s="15"/>
      <c r="C75" s="16" t="n">
        <f aca="false">C63 + C64 - C72</f>
        <v>-249804.920465116</v>
      </c>
      <c r="D75" s="16" t="n">
        <f aca="false">D63 + D64 - D72</f>
        <v>-452591.231060375</v>
      </c>
      <c r="E75" s="16" t="n">
        <f aca="false">E63 + E64 - E72</f>
        <v>-737398.098244395</v>
      </c>
      <c r="F75" s="16" t="n">
        <f aca="false">F63 + F64 - F72</f>
        <v>-875693.472424604</v>
      </c>
      <c r="G75" s="16" t="n">
        <f aca="false">G63 + G64 - G72</f>
        <v>-907894.479063095</v>
      </c>
      <c r="H75" s="16" t="n">
        <f aca="false">H63 + H64 - H72</f>
        <v>-662981.257681563</v>
      </c>
      <c r="I75" s="16" t="n">
        <f aca="false">I63 + I64 - I72</f>
        <v>223530.090719106</v>
      </c>
      <c r="J75" s="15"/>
      <c r="K75" s="15"/>
      <c r="L75" s="17" t="s">
        <v>113</v>
      </c>
      <c r="M75" s="15"/>
    </row>
    <row r="76" customFormat="false" ht="15" hidden="false" customHeight="false" outlineLevel="0" collapsed="false">
      <c r="A76" s="3" t="s">
        <v>341</v>
      </c>
      <c r="C76" s="28" t="n">
        <f aca="false">IFERROR(C75/C14, 0)</f>
        <v>0</v>
      </c>
      <c r="D76" s="28" t="n">
        <f aca="false">IFERROR(D75/D14, 0)</f>
        <v>0</v>
      </c>
      <c r="E76" s="28" t="n">
        <f aca="false">IFERROR(E75/E14, 0)</f>
        <v>-13.7934548867264</v>
      </c>
      <c r="F76" s="28" t="n">
        <f aca="false">IFERROR(F75/F14, 0)</f>
        <v>-4.13687392490837</v>
      </c>
      <c r="G76" s="28" t="n">
        <f aca="false">IFERROR(G75/G14, 0)</f>
        <v>-1.17386385612949</v>
      </c>
      <c r="H76" s="28" t="n">
        <f aca="false">IFERROR(H75/H14, 0)</f>
        <v>-0.384595810676962</v>
      </c>
      <c r="I76" s="28" t="n">
        <f aca="false">IFERROR(I75/I14, 0)</f>
        <v>0.0561780656520102</v>
      </c>
      <c r="L76" s="6" t="s">
        <v>75</v>
      </c>
    </row>
  </sheetData>
  <mergeCells count="9">
    <mergeCell ref="A1:M1"/>
    <mergeCell ref="A2:M2"/>
    <mergeCell ref="A8:M8"/>
    <mergeCell ref="A16:M16"/>
    <mergeCell ref="A26:M26"/>
    <mergeCell ref="A31:M31"/>
    <mergeCell ref="A38:M38"/>
    <mergeCell ref="A45:M45"/>
    <mergeCell ref="A65:M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2" min="12" style="0" width="16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C4" s="4" t="str">
        <f aca="false">Assumptions!C4</f>
        <v>Y1</v>
      </c>
      <c r="D4" s="4" t="str">
        <f aca="false">Assumptions!D4</f>
        <v>Y2</v>
      </c>
      <c r="E4" s="4" t="str">
        <f aca="false">Assumptions!E4</f>
        <v>Y3</v>
      </c>
      <c r="F4" s="4" t="str">
        <f aca="false">Assumptions!F4</f>
        <v>Y4</v>
      </c>
      <c r="G4" s="4" t="str">
        <f aca="false">Assumptions!G4</f>
        <v>Y5</v>
      </c>
      <c r="H4" s="4" t="str">
        <f aca="false">Assumptions!H4</f>
        <v>Y6</v>
      </c>
      <c r="I4" s="4" t="str">
        <f aca="false">Assumptions!I4</f>
        <v>Y7</v>
      </c>
    </row>
    <row r="5" customFormat="false" ht="15" hidden="false" customHeight="false" outlineLevel="0" collapsed="false">
      <c r="A5" s="3" t="s">
        <v>10</v>
      </c>
      <c r="C5" s="26" t="n">
        <f aca="false">Assumptions!C5</f>
        <v>1</v>
      </c>
      <c r="D5" s="26" t="n">
        <f aca="false">Assumptions!D5</f>
        <v>2</v>
      </c>
      <c r="E5" s="26" t="n">
        <f aca="false">Assumptions!E5</f>
        <v>3</v>
      </c>
      <c r="F5" s="26" t="n">
        <f aca="false">Assumptions!F5</f>
        <v>4</v>
      </c>
      <c r="G5" s="26" t="n">
        <f aca="false">Assumptions!G5</f>
        <v>5</v>
      </c>
      <c r="H5" s="26" t="n">
        <f aca="false">Assumptions!H5</f>
        <v>6</v>
      </c>
      <c r="I5" s="26" t="n">
        <f aca="false">Assumptions!I5</f>
        <v>7</v>
      </c>
    </row>
    <row r="6" customFormat="false" ht="15" hidden="false" customHeight="false" outlineLevel="0" collapsed="false">
      <c r="A6" s="3" t="s">
        <v>13</v>
      </c>
      <c r="C6" s="26" t="n">
        <f aca="false">Assumptions!C7</f>
        <v>1</v>
      </c>
      <c r="D6" s="26" t="n">
        <f aca="false">Assumptions!D7</f>
        <v>1</v>
      </c>
      <c r="E6" s="26" t="n">
        <f aca="false">Assumptions!E7</f>
        <v>2</v>
      </c>
      <c r="F6" s="26" t="n">
        <f aca="false">Assumptions!F7</f>
        <v>2</v>
      </c>
      <c r="G6" s="26" t="n">
        <f aca="false">Assumptions!G7</f>
        <v>3</v>
      </c>
      <c r="H6" s="26" t="n">
        <f aca="false">Assumptions!H7</f>
        <v>3</v>
      </c>
      <c r="I6" s="26" t="n">
        <f aca="false">Assumptions!I7</f>
        <v>3</v>
      </c>
    </row>
    <row r="8" customFormat="false" ht="19.5" hidden="false" customHeight="true" outlineLevel="0" collapsed="false">
      <c r="A8" s="7" t="s">
        <v>344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3" t="s">
        <v>345</v>
      </c>
      <c r="C9" s="27" t="n">
        <f aca="false">'P&amp;L'!C63</f>
        <v>-271450</v>
      </c>
      <c r="D9" s="27" t="n">
        <f aca="false">'P&amp;L'!D63</f>
        <v>-514125</v>
      </c>
      <c r="E9" s="27" t="n">
        <f aca="false">'P&amp;L'!E63</f>
        <v>-802210</v>
      </c>
      <c r="F9" s="27" t="n">
        <f aca="false">'P&amp;L'!F63</f>
        <v>-969120</v>
      </c>
      <c r="G9" s="27" t="n">
        <f aca="false">'P&amp;L'!G63</f>
        <v>-985760.5</v>
      </c>
      <c r="H9" s="27" t="n">
        <f aca="false">'P&amp;L'!H63</f>
        <v>-765021.45</v>
      </c>
      <c r="I9" s="27" t="n">
        <f aca="false">'P&amp;L'!I63</f>
        <v>130607.837857143</v>
      </c>
      <c r="L9" s="6" t="s">
        <v>113</v>
      </c>
    </row>
    <row r="10" customFormat="false" ht="15" hidden="false" customHeight="false" outlineLevel="0" collapsed="false">
      <c r="A10" s="3" t="s">
        <v>346</v>
      </c>
      <c r="C10" s="27" t="n">
        <f aca="false">'P&amp;L'!C61</f>
        <v>1300</v>
      </c>
      <c r="D10" s="27" t="n">
        <f aca="false">'P&amp;L'!D61</f>
        <v>2500</v>
      </c>
      <c r="E10" s="27" t="n">
        <f aca="false">'P&amp;L'!E61</f>
        <v>5500</v>
      </c>
      <c r="F10" s="27" t="n">
        <f aca="false">'P&amp;L'!F61</f>
        <v>9500</v>
      </c>
      <c r="G10" s="27" t="n">
        <f aca="false">'P&amp;L'!G61</f>
        <v>15500</v>
      </c>
      <c r="H10" s="27" t="n">
        <f aca="false">'P&amp;L'!H61</f>
        <v>16600</v>
      </c>
      <c r="I10" s="27" t="n">
        <f aca="false">'P&amp;L'!I61</f>
        <v>18542.8571428571</v>
      </c>
      <c r="L10" s="6" t="s">
        <v>113</v>
      </c>
    </row>
    <row r="11" customFormat="false" ht="15" hidden="false" customHeight="false" outlineLevel="0" collapsed="false">
      <c r="A11" s="3" t="s">
        <v>347</v>
      </c>
      <c r="C11" s="19" t="n">
        <f aca="false">C9 + C10</f>
        <v>-270150</v>
      </c>
      <c r="D11" s="19" t="n">
        <f aca="false">D9 + D10</f>
        <v>-511625</v>
      </c>
      <c r="E11" s="19" t="n">
        <f aca="false">E9 + E10</f>
        <v>-796710</v>
      </c>
      <c r="F11" s="19" t="n">
        <f aca="false">F9 + F10</f>
        <v>-959620</v>
      </c>
      <c r="G11" s="19" t="n">
        <f aca="false">G9 + G10</f>
        <v>-970260.5</v>
      </c>
      <c r="H11" s="19" t="n">
        <f aca="false">H9 + H10</f>
        <v>-748421.45</v>
      </c>
      <c r="I11" s="19" t="n">
        <f aca="false">I9 + I10</f>
        <v>149150.695</v>
      </c>
      <c r="L11" s="6" t="s">
        <v>113</v>
      </c>
    </row>
    <row r="12" customFormat="false" ht="15" hidden="false" customHeight="false" outlineLevel="0" collapsed="false">
      <c r="A12" s="3" t="s">
        <v>348</v>
      </c>
      <c r="C12" s="19" t="n">
        <f aca="false">-'P&amp;L'!C72</f>
        <v>21645.0795348837</v>
      </c>
      <c r="D12" s="19" t="n">
        <f aca="false">-'P&amp;L'!D72</f>
        <v>38998.985046729</v>
      </c>
      <c r="E12" s="19" t="n">
        <f aca="false">-'P&amp;L'!E72</f>
        <v>55297.8</v>
      </c>
      <c r="F12" s="19" t="n">
        <f aca="false">-'P&amp;L'!F72</f>
        <v>53389.44</v>
      </c>
      <c r="G12" s="19" t="n">
        <f aca="false">-'P&amp;L'!G72</f>
        <v>63571.08</v>
      </c>
      <c r="H12" s="19" t="n">
        <f aca="false">-'P&amp;L'!H72</f>
        <v>70875.3</v>
      </c>
      <c r="I12" s="19" t="n">
        <f aca="false">-'P&amp;L'!I72</f>
        <v>78179.52</v>
      </c>
      <c r="L12" s="6" t="s">
        <v>113</v>
      </c>
      <c r="M12" s="6" t="s">
        <v>349</v>
      </c>
    </row>
    <row r="13" customFormat="false" ht="15" hidden="false" customHeight="false" outlineLevel="0" collapsed="false">
      <c r="A13" s="14" t="s">
        <v>350</v>
      </c>
      <c r="B13" s="15"/>
      <c r="C13" s="16" t="n">
        <f aca="false">C11 + C12</f>
        <v>-248504.920465116</v>
      </c>
      <c r="D13" s="16" t="n">
        <f aca="false">D11 + D12</f>
        <v>-472626.014953271</v>
      </c>
      <c r="E13" s="16" t="n">
        <f aca="false">E11 + E12</f>
        <v>-741412.2</v>
      </c>
      <c r="F13" s="16" t="n">
        <f aca="false">F11 + F12</f>
        <v>-906230.56</v>
      </c>
      <c r="G13" s="16" t="n">
        <f aca="false">G11 + G12</f>
        <v>-906689.42</v>
      </c>
      <c r="H13" s="16" t="n">
        <f aca="false">H11 + H12</f>
        <v>-677546.15</v>
      </c>
      <c r="I13" s="16" t="n">
        <f aca="false">I11 + I12</f>
        <v>227330.215</v>
      </c>
      <c r="J13" s="15"/>
      <c r="K13" s="15"/>
      <c r="L13" s="17" t="s">
        <v>113</v>
      </c>
      <c r="M13" s="15"/>
    </row>
    <row r="15" customFormat="false" ht="19.5" hidden="false" customHeight="true" outlineLevel="0" collapsed="false">
      <c r="A15" s="7" t="s">
        <v>351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5" hidden="false" customHeight="false" outlineLevel="0" collapsed="false">
      <c r="A16" s="3" t="s">
        <v>352</v>
      </c>
      <c r="C16" s="19" t="n">
        <f aca="false">Assumptions!$B$110 * 'P&amp;L'!C21 / 365</f>
        <v>0</v>
      </c>
      <c r="D16" s="19" t="n">
        <f aca="false">Assumptions!$B$110 * 'P&amp;L'!D21 / 365</f>
        <v>0</v>
      </c>
      <c r="E16" s="19" t="n">
        <f aca="false">Assumptions!$B$110 * 'P&amp;L'!E21 / 365</f>
        <v>6102.7397260274</v>
      </c>
      <c r="F16" s="19" t="n">
        <f aca="false">Assumptions!$B$110 * 'P&amp;L'!F21 / 365</f>
        <v>19889.3835616438</v>
      </c>
      <c r="G16" s="19" t="n">
        <f aca="false">Assumptions!$B$110 * 'P&amp;L'!G21 / 365</f>
        <v>63635.8561643836</v>
      </c>
      <c r="H16" s="19" t="n">
        <f aca="false">Assumptions!$B$110 * 'P&amp;L'!H21 / 365</f>
        <v>137317.900684932</v>
      </c>
      <c r="I16" s="19" t="n">
        <f aca="false">Assumptions!$B$110 * 'P&amp;L'!I21 / 365</f>
        <v>324829.31609589</v>
      </c>
      <c r="L16" s="6" t="s">
        <v>113</v>
      </c>
      <c r="M16" s="6" t="s">
        <v>353</v>
      </c>
    </row>
    <row r="17" customFormat="false" ht="15" hidden="false" customHeight="false" outlineLevel="0" collapsed="false">
      <c r="A17" s="3" t="s">
        <v>354</v>
      </c>
      <c r="C17" s="19" t="n">
        <f aca="true">-(C16 - OFFSET(C16, 0, -1))</f>
        <v>-0</v>
      </c>
      <c r="D17" s="19" t="n">
        <f aca="true">-(D16 - OFFSET(D16, 0, -1))</f>
        <v>-0</v>
      </c>
      <c r="E17" s="19" t="n">
        <f aca="true">-(E16 - OFFSET(E16, 0, -1))</f>
        <v>-6102.7397260274</v>
      </c>
      <c r="F17" s="19" t="n">
        <f aca="true">-(F16 - OFFSET(F16, 0, -1))</f>
        <v>-13786.6438356164</v>
      </c>
      <c r="G17" s="19" t="n">
        <f aca="true">-(G16 - OFFSET(G16, 0, -1))</f>
        <v>-43746.4726027397</v>
      </c>
      <c r="H17" s="19" t="n">
        <f aca="true">-(H16 - OFFSET(H16, 0, -1))</f>
        <v>-73682.044520548</v>
      </c>
      <c r="I17" s="19" t="n">
        <f aca="true">-(I16 - OFFSET(I16, 0, -1))</f>
        <v>-187511.415410959</v>
      </c>
      <c r="L17" s="6" t="s">
        <v>113</v>
      </c>
    </row>
    <row r="18" customFormat="false" ht="15" hidden="false" customHeight="false" outlineLevel="0" collapsed="false">
      <c r="A18" s="3" t="s">
        <v>355</v>
      </c>
      <c r="C18" s="19" t="n">
        <f aca="false">Assumptions!$B$111 * 'P&amp;L'!C14 / 365</f>
        <v>0</v>
      </c>
      <c r="D18" s="19" t="n">
        <f aca="false">Assumptions!$B$111 * 'P&amp;L'!D14 / 365</f>
        <v>0</v>
      </c>
      <c r="E18" s="19" t="n">
        <f aca="false">Assumptions!$B$111 * 'P&amp;L'!E14 / 365</f>
        <v>6590.95890410959</v>
      </c>
      <c r="F18" s="19" t="n">
        <f aca="false">Assumptions!$B$111 * 'P&amp;L'!F14 / 365</f>
        <v>26097.5342465753</v>
      </c>
      <c r="G18" s="19" t="n">
        <f aca="false">Assumptions!$B$111 * 'P&amp;L'!G14 / 365</f>
        <v>95353.6438356164</v>
      </c>
      <c r="H18" s="19" t="n">
        <f aca="false">Assumptions!$B$111 * 'P&amp;L'!H14 / 365</f>
        <v>212528.095890411</v>
      </c>
      <c r="I18" s="19" t="n">
        <f aca="false">Assumptions!$B$111 * 'P&amp;L'!I14 / 365</f>
        <v>490556.305479452</v>
      </c>
      <c r="L18" s="6" t="s">
        <v>113</v>
      </c>
      <c r="M18" s="6" t="s">
        <v>356</v>
      </c>
    </row>
    <row r="19" customFormat="false" ht="15" hidden="false" customHeight="false" outlineLevel="0" collapsed="false">
      <c r="A19" s="3" t="s">
        <v>357</v>
      </c>
      <c r="C19" s="19" t="n">
        <f aca="true">-(C18 - OFFSET(C18, 0, -1))</f>
        <v>-0</v>
      </c>
      <c r="D19" s="19" t="n">
        <f aca="true">-(D18 - OFFSET(D18, 0, -1))</f>
        <v>-0</v>
      </c>
      <c r="E19" s="19" t="n">
        <f aca="true">-(E18 - OFFSET(E18, 0, -1))</f>
        <v>-6590.95890410959</v>
      </c>
      <c r="F19" s="19" t="n">
        <f aca="true">-(F18 - OFFSET(F18, 0, -1))</f>
        <v>-19506.5753424658</v>
      </c>
      <c r="G19" s="19" t="n">
        <f aca="true">-(G18 - OFFSET(G18, 0, -1))</f>
        <v>-69256.1095890411</v>
      </c>
      <c r="H19" s="19" t="n">
        <f aca="true">-(H18 - OFFSET(H18, 0, -1))</f>
        <v>-117174.452054795</v>
      </c>
      <c r="I19" s="19" t="n">
        <f aca="true">-(I18 - OFFSET(I18, 0, -1))</f>
        <v>-278028.209589041</v>
      </c>
      <c r="L19" s="6" t="s">
        <v>113</v>
      </c>
    </row>
    <row r="20" customFormat="false" ht="15" hidden="false" customHeight="false" outlineLevel="0" collapsed="false">
      <c r="A20" s="3" t="s">
        <v>358</v>
      </c>
      <c r="C20" s="19" t="n">
        <f aca="false">Assumptions!$B$112 * ('P&amp;L'!C21 + ('P&amp;L'!C56 - Assumptions!C69)) / 365</f>
        <v>6164.38356164384</v>
      </c>
      <c r="D20" s="19" t="n">
        <f aca="false">Assumptions!$B$112 * ('P&amp;L'!D21 + ('P&amp;L'!D56 - Assumptions!D69)) / 365</f>
        <v>28232.8767123288</v>
      </c>
      <c r="E20" s="19" t="n">
        <f aca="false">Assumptions!$B$112 * ('P&amp;L'!E21 + ('P&amp;L'!E56 - Assumptions!E69)) / 365</f>
        <v>41757.5342465753</v>
      </c>
      <c r="F20" s="19" t="n">
        <f aca="false">Assumptions!$B$112 * ('P&amp;L'!F21 + ('P&amp;L'!F56 - Assumptions!F69)) / 365</f>
        <v>50522.6712328767</v>
      </c>
      <c r="G20" s="19" t="n">
        <f aca="false">Assumptions!$B$112 * ('P&amp;L'!G21 + ('P&amp;L'!G56 - Assumptions!G69)) / 365</f>
        <v>96866.4452054795</v>
      </c>
      <c r="H20" s="19" t="n">
        <f aca="false">Assumptions!$B$112 * ('P&amp;L'!H21 + ('P&amp;L'!H56 - Assumptions!H69)) / 365</f>
        <v>167952.384246575</v>
      </c>
      <c r="I20" s="19" t="n">
        <f aca="false">Assumptions!$B$112 * ('P&amp;L'!I21 + ('P&amp;L'!I56 - Assumptions!I69)) / 365</f>
        <v>313253.754041096</v>
      </c>
      <c r="L20" s="6" t="s">
        <v>113</v>
      </c>
      <c r="M20" s="6" t="s">
        <v>359</v>
      </c>
    </row>
    <row r="21" customFormat="false" ht="15" hidden="false" customHeight="false" outlineLevel="0" collapsed="false">
      <c r="A21" s="3" t="s">
        <v>360</v>
      </c>
      <c r="C21" s="19" t="n">
        <f aca="true">C20 - OFFSET(C20, 0, -1)</f>
        <v>6164.38356164384</v>
      </c>
      <c r="D21" s="19" t="n">
        <f aca="true">D20 - OFFSET(D20, 0, -1)</f>
        <v>22068.4931506849</v>
      </c>
      <c r="E21" s="19" t="n">
        <f aca="true">E20 - OFFSET(E20, 0, -1)</f>
        <v>13524.6575342466</v>
      </c>
      <c r="F21" s="19" t="n">
        <f aca="true">F20 - OFFSET(F20, 0, -1)</f>
        <v>8765.13698630137</v>
      </c>
      <c r="G21" s="19" t="n">
        <f aca="true">G20 - OFFSET(G20, 0, -1)</f>
        <v>46343.7739726027</v>
      </c>
      <c r="H21" s="19" t="n">
        <f aca="true">H20 - OFFSET(H20, 0, -1)</f>
        <v>71085.9390410959</v>
      </c>
      <c r="I21" s="19" t="n">
        <f aca="true">I20 - OFFSET(I20, 0, -1)</f>
        <v>145301.369794521</v>
      </c>
      <c r="L21" s="6" t="s">
        <v>113</v>
      </c>
    </row>
    <row r="22" customFormat="false" ht="15" hidden="false" customHeight="false" outlineLevel="0" collapsed="false">
      <c r="A22" s="3" t="s">
        <v>361</v>
      </c>
      <c r="C22" s="19" t="n">
        <f aca="false">'P&amp;L'!C10 * 0.5</f>
        <v>0</v>
      </c>
      <c r="D22" s="19" t="n">
        <f aca="false">'P&amp;L'!D10 * 0.5</f>
        <v>0</v>
      </c>
      <c r="E22" s="19" t="n">
        <f aca="false">'P&amp;L'!E10 * 0.5</f>
        <v>13500</v>
      </c>
      <c r="F22" s="19" t="n">
        <f aca="false">'P&amp;L'!F10 * 0.5</f>
        <v>66150</v>
      </c>
      <c r="G22" s="19" t="n">
        <f aca="false">'P&amp;L'!G10 * 0.5</f>
        <v>167535</v>
      </c>
      <c r="H22" s="19" t="n">
        <f aca="false">'P&amp;L'!H10 * 0.5</f>
        <v>398281.5</v>
      </c>
      <c r="I22" s="19" t="n">
        <f aca="false">'P&amp;L'!I10 * 0.5</f>
        <v>875953.35</v>
      </c>
      <c r="L22" s="6" t="s">
        <v>113</v>
      </c>
      <c r="M22" s="6" t="s">
        <v>362</v>
      </c>
    </row>
    <row r="23" customFormat="false" ht="15" hidden="false" customHeight="false" outlineLevel="0" collapsed="false">
      <c r="A23" s="3" t="s">
        <v>363</v>
      </c>
      <c r="C23" s="19" t="n">
        <f aca="true">C22 - OFFSET(C22, 0, -1)</f>
        <v>0</v>
      </c>
      <c r="D23" s="19" t="n">
        <f aca="true">D22 - OFFSET(D22, 0, -1)</f>
        <v>0</v>
      </c>
      <c r="E23" s="19" t="n">
        <f aca="true">E22 - OFFSET(E22, 0, -1)</f>
        <v>13500</v>
      </c>
      <c r="F23" s="19" t="n">
        <f aca="true">F22 - OFFSET(F22, 0, -1)</f>
        <v>52650</v>
      </c>
      <c r="G23" s="19" t="n">
        <f aca="true">G22 - OFFSET(G22, 0, -1)</f>
        <v>101385</v>
      </c>
      <c r="H23" s="19" t="n">
        <f aca="true">H22 - OFFSET(H22, 0, -1)</f>
        <v>230746.5</v>
      </c>
      <c r="I23" s="19" t="n">
        <f aca="true">I22 - OFFSET(I22, 0, -1)</f>
        <v>477671.85</v>
      </c>
      <c r="L23" s="6" t="s">
        <v>113</v>
      </c>
    </row>
    <row r="24" customFormat="false" ht="15" hidden="false" customHeight="false" outlineLevel="0" collapsed="false">
      <c r="A24" s="14" t="s">
        <v>364</v>
      </c>
      <c r="B24" s="15"/>
      <c r="C24" s="16" t="n">
        <f aca="false">C17 + C19 + C21 + C23</f>
        <v>6164.38356164384</v>
      </c>
      <c r="D24" s="16" t="n">
        <f aca="false">D17 + D19 + D21 + D23</f>
        <v>22068.4931506849</v>
      </c>
      <c r="E24" s="16" t="n">
        <f aca="false">E17 + E19 + E21 + E23</f>
        <v>14330.9589041096</v>
      </c>
      <c r="F24" s="16" t="n">
        <f aca="false">F17 + F19 + F21 + F23</f>
        <v>28121.9178082192</v>
      </c>
      <c r="G24" s="16" t="n">
        <f aca="false">G17 + G19 + G21 + G23</f>
        <v>34726.1917808219</v>
      </c>
      <c r="H24" s="16" t="n">
        <f aca="false">H17 + H19 + H21 + H23</f>
        <v>110975.942465753</v>
      </c>
      <c r="I24" s="16" t="n">
        <f aca="false">I17 + I19 + I21 + I23</f>
        <v>157433.594794521</v>
      </c>
      <c r="J24" s="15"/>
      <c r="K24" s="15"/>
      <c r="L24" s="17" t="s">
        <v>113</v>
      </c>
      <c r="M24" s="15"/>
    </row>
    <row r="25" customFormat="false" ht="15" hidden="false" customHeight="false" outlineLevel="0" collapsed="false">
      <c r="A25" s="3" t="s">
        <v>322</v>
      </c>
      <c r="C25" s="27" t="n">
        <f aca="false">'P&amp;L'!C64</f>
        <v>0</v>
      </c>
      <c r="D25" s="27" t="n">
        <f aca="false">'P&amp;L'!D64</f>
        <v>22534.7838928958</v>
      </c>
      <c r="E25" s="27" t="n">
        <f aca="false">'P&amp;L'!E64</f>
        <v>9514.10175560512</v>
      </c>
      <c r="F25" s="27" t="n">
        <f aca="false">'P&amp;L'!F64</f>
        <v>40037.0875753966</v>
      </c>
      <c r="G25" s="27" t="n">
        <f aca="false">'P&amp;L'!G64</f>
        <v>14294.940936905</v>
      </c>
      <c r="H25" s="27" t="n">
        <f aca="false">'P&amp;L'!H64</f>
        <v>31164.8923184368</v>
      </c>
      <c r="I25" s="27" t="n">
        <f aca="false">'P&amp;L'!I64</f>
        <v>14742.7328619626</v>
      </c>
      <c r="L25" s="6" t="s">
        <v>113</v>
      </c>
      <c r="M25" s="6" t="s">
        <v>365</v>
      </c>
    </row>
    <row r="26" customFormat="false" ht="15" hidden="false" customHeight="false" outlineLevel="0" collapsed="false">
      <c r="A26" s="14" t="s">
        <v>366</v>
      </c>
      <c r="B26" s="15"/>
      <c r="C26" s="16" t="n">
        <f aca="false">C13 + C24 + C25</f>
        <v>-242340.536903472</v>
      </c>
      <c r="D26" s="16" t="n">
        <f aca="false">D13 + D24 + D25</f>
        <v>-428022.73790969</v>
      </c>
      <c r="E26" s="16" t="n">
        <f aca="false">E13 + E24 + E25</f>
        <v>-717567.139340285</v>
      </c>
      <c r="F26" s="16" t="n">
        <f aca="false">F13 + F24 + F25</f>
        <v>-838071.554616384</v>
      </c>
      <c r="G26" s="16" t="n">
        <f aca="false">G13 + G24 + G25</f>
        <v>-857668.287282273</v>
      </c>
      <c r="H26" s="16" t="n">
        <f aca="false">H13 + H24 + H25</f>
        <v>-535405.31521581</v>
      </c>
      <c r="I26" s="16" t="n">
        <f aca="false">I13 + I24 + I25</f>
        <v>399506.542656484</v>
      </c>
      <c r="J26" s="15"/>
      <c r="K26" s="15"/>
      <c r="L26" s="17" t="s">
        <v>113</v>
      </c>
      <c r="M26" s="15"/>
    </row>
    <row r="28" customFormat="false" ht="19.5" hidden="false" customHeight="true" outlineLevel="0" collapsed="false">
      <c r="A28" s="7" t="s">
        <v>367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customFormat="false" ht="15" hidden="false" customHeight="false" outlineLevel="0" collapsed="false">
      <c r="A29" s="3" t="s">
        <v>368</v>
      </c>
      <c r="C29" s="19" t="n">
        <f aca="false">-Assumptions!C103</f>
        <v>-6500</v>
      </c>
      <c r="D29" s="19" t="n">
        <f aca="false">-Assumptions!D103</f>
        <v>-6000</v>
      </c>
      <c r="E29" s="19" t="n">
        <f aca="false">-Assumptions!E103</f>
        <v>-15000</v>
      </c>
      <c r="F29" s="19" t="n">
        <f aca="false">-Assumptions!F103</f>
        <v>-20000</v>
      </c>
      <c r="G29" s="19" t="n">
        <f aca="false">-Assumptions!G103</f>
        <v>-30000</v>
      </c>
      <c r="H29" s="19" t="n">
        <f aca="false">-Assumptions!H103</f>
        <v>-12000</v>
      </c>
      <c r="I29" s="19" t="n">
        <f aca="false">-Assumptions!I103</f>
        <v>-22000</v>
      </c>
      <c r="L29" s="6" t="s">
        <v>113</v>
      </c>
      <c r="M29" s="6" t="s">
        <v>369</v>
      </c>
    </row>
    <row r="30" customFormat="false" ht="15" hidden="false" customHeight="false" outlineLevel="0" collapsed="false">
      <c r="A30" s="14" t="s">
        <v>370</v>
      </c>
      <c r="B30" s="15"/>
      <c r="C30" s="16" t="n">
        <f aca="false">C29</f>
        <v>-6500</v>
      </c>
      <c r="D30" s="16" t="n">
        <f aca="false">D29</f>
        <v>-6000</v>
      </c>
      <c r="E30" s="16" t="n">
        <f aca="false">E29</f>
        <v>-15000</v>
      </c>
      <c r="F30" s="16" t="n">
        <f aca="false">F29</f>
        <v>-20000</v>
      </c>
      <c r="G30" s="16" t="n">
        <f aca="false">G29</f>
        <v>-30000</v>
      </c>
      <c r="H30" s="16" t="n">
        <f aca="false">H29</f>
        <v>-12000</v>
      </c>
      <c r="I30" s="16" t="n">
        <f aca="false">I29</f>
        <v>-22000</v>
      </c>
      <c r="J30" s="15"/>
      <c r="K30" s="15"/>
      <c r="L30" s="17" t="s">
        <v>113</v>
      </c>
      <c r="M30" s="15"/>
    </row>
    <row r="32" customFormat="false" ht="19.5" hidden="false" customHeight="true" outlineLevel="0" collapsed="false">
      <c r="A32" s="7" t="s">
        <v>371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customFormat="false" ht="15" hidden="false" customHeight="false" outlineLevel="0" collapsed="false">
      <c r="A33" s="3" t="s">
        <v>194</v>
      </c>
      <c r="C33" s="27" t="n">
        <f aca="false">Assumptions!C126</f>
        <v>1000000</v>
      </c>
      <c r="D33" s="27" t="n">
        <f aca="false">Assumptions!D126</f>
        <v>0</v>
      </c>
      <c r="E33" s="27" t="n">
        <f aca="false">Assumptions!E126</f>
        <v>1750000</v>
      </c>
      <c r="F33" s="27" t="n">
        <f aca="false">Assumptions!F126</f>
        <v>0</v>
      </c>
      <c r="G33" s="27" t="n">
        <f aca="false">Assumptions!G126</f>
        <v>1450000</v>
      </c>
      <c r="H33" s="27" t="n">
        <f aca="false">Assumptions!H126</f>
        <v>0</v>
      </c>
      <c r="I33" s="27" t="n">
        <f aca="false">Assumptions!I126</f>
        <v>0</v>
      </c>
      <c r="L33" s="6" t="s">
        <v>113</v>
      </c>
      <c r="M33" s="6" t="s">
        <v>372</v>
      </c>
    </row>
    <row r="34" customFormat="false" ht="15" hidden="false" customHeight="false" outlineLevel="0" collapsed="false">
      <c r="A34" s="14" t="s">
        <v>373</v>
      </c>
      <c r="B34" s="15"/>
      <c r="C34" s="16" t="n">
        <f aca="false">C33</f>
        <v>1000000</v>
      </c>
      <c r="D34" s="16" t="n">
        <f aca="false">D33</f>
        <v>0</v>
      </c>
      <c r="E34" s="16" t="n">
        <f aca="false">E33</f>
        <v>1750000</v>
      </c>
      <c r="F34" s="16" t="n">
        <f aca="false">F33</f>
        <v>0</v>
      </c>
      <c r="G34" s="16" t="n">
        <f aca="false">G33</f>
        <v>1450000</v>
      </c>
      <c r="H34" s="16" t="n">
        <f aca="false">H33</f>
        <v>0</v>
      </c>
      <c r="I34" s="16" t="n">
        <f aca="false">I33</f>
        <v>0</v>
      </c>
      <c r="J34" s="15"/>
      <c r="K34" s="15"/>
      <c r="L34" s="17" t="s">
        <v>113</v>
      </c>
      <c r="M34" s="15"/>
    </row>
    <row r="36" customFormat="false" ht="19.5" hidden="false" customHeight="true" outlineLevel="0" collapsed="false">
      <c r="A36" s="7" t="s">
        <v>374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customFormat="false" ht="15" hidden="false" customHeight="false" outlineLevel="0" collapsed="false">
      <c r="A37" s="3" t="s">
        <v>375</v>
      </c>
      <c r="C37" s="19" t="n">
        <f aca="false">C26 + C30 + C34</f>
        <v>751159.463096528</v>
      </c>
      <c r="D37" s="19" t="n">
        <f aca="false">D26 + D30 + D34</f>
        <v>-434022.73790969</v>
      </c>
      <c r="E37" s="19" t="n">
        <f aca="false">E26 + E30 + E34</f>
        <v>1017432.86065971</v>
      </c>
      <c r="F37" s="19" t="n">
        <f aca="false">F26 + F30 + F34</f>
        <v>-858071.554616384</v>
      </c>
      <c r="G37" s="19" t="n">
        <f aca="false">G26 + G30 + G34</f>
        <v>562331.712717727</v>
      </c>
      <c r="H37" s="19" t="n">
        <f aca="false">H26 + H30 + H34</f>
        <v>-547405.31521581</v>
      </c>
      <c r="I37" s="19" t="n">
        <f aca="false">I26 + I30 + I34</f>
        <v>377506.542656484</v>
      </c>
      <c r="L37" s="6" t="s">
        <v>113</v>
      </c>
    </row>
    <row r="38" customFormat="false" ht="15" hidden="false" customHeight="false" outlineLevel="0" collapsed="false">
      <c r="A38" s="3" t="s">
        <v>376</v>
      </c>
      <c r="C38" s="19" t="n">
        <f aca="true">OFFSET(C38, 1, -1)</f>
        <v>0</v>
      </c>
      <c r="D38" s="19" t="n">
        <f aca="true">OFFSET(D38, 1, -1)</f>
        <v>751159.463096528</v>
      </c>
      <c r="E38" s="19" t="n">
        <f aca="true">OFFSET(E38, 1, -1)</f>
        <v>317136.725186837</v>
      </c>
      <c r="F38" s="19" t="n">
        <f aca="true">OFFSET(F38, 1, -1)</f>
        <v>1334569.58584655</v>
      </c>
      <c r="G38" s="19" t="n">
        <f aca="true">OFFSET(G38, 1, -1)</f>
        <v>476498.031230168</v>
      </c>
      <c r="H38" s="19" t="n">
        <f aca="true">OFFSET(H38, 1, -1)</f>
        <v>1038829.74394789</v>
      </c>
      <c r="I38" s="19" t="n">
        <f aca="true">OFFSET(I38, 1, -1)</f>
        <v>491424.428732085</v>
      </c>
      <c r="L38" s="6" t="s">
        <v>113</v>
      </c>
    </row>
    <row r="39" customFormat="false" ht="15" hidden="false" customHeight="false" outlineLevel="0" collapsed="false">
      <c r="A39" s="14" t="s">
        <v>377</v>
      </c>
      <c r="B39" s="15"/>
      <c r="C39" s="16" t="n">
        <f aca="false">C38 + C37</f>
        <v>751159.463096528</v>
      </c>
      <c r="D39" s="16" t="n">
        <f aca="false">D38 + D37</f>
        <v>317136.725186837</v>
      </c>
      <c r="E39" s="16" t="n">
        <f aca="false">E38 + E37</f>
        <v>1334569.58584655</v>
      </c>
      <c r="F39" s="16" t="n">
        <f aca="false">F38 + F37</f>
        <v>476498.031230168</v>
      </c>
      <c r="G39" s="16" t="n">
        <f aca="false">G38 + G37</f>
        <v>1038829.74394789</v>
      </c>
      <c r="H39" s="16" t="n">
        <f aca="false">H38 + H37</f>
        <v>491424.428732085</v>
      </c>
      <c r="I39" s="16" t="n">
        <f aca="false">I38 + I37</f>
        <v>868930.971388569</v>
      </c>
      <c r="J39" s="15"/>
      <c r="K39" s="15"/>
      <c r="L39" s="17" t="s">
        <v>113</v>
      </c>
      <c r="M39" s="15"/>
    </row>
    <row r="40" customFormat="false" ht="15" hidden="false" customHeight="false" outlineLevel="0" collapsed="false">
      <c r="A40" s="3" t="s">
        <v>378</v>
      </c>
      <c r="C40" s="27" t="n">
        <f aca="false">Assumptions!$B$127</f>
        <v>100000</v>
      </c>
      <c r="D40" s="27" t="n">
        <f aca="false">Assumptions!$B$127</f>
        <v>100000</v>
      </c>
      <c r="E40" s="27" t="n">
        <f aca="false">Assumptions!$B$127</f>
        <v>100000</v>
      </c>
      <c r="F40" s="27" t="n">
        <f aca="false">Assumptions!$B$127</f>
        <v>100000</v>
      </c>
      <c r="G40" s="27" t="n">
        <f aca="false">Assumptions!$B$127</f>
        <v>100000</v>
      </c>
      <c r="H40" s="27" t="n">
        <f aca="false">Assumptions!$B$127</f>
        <v>100000</v>
      </c>
      <c r="I40" s="27" t="n">
        <f aca="false">Assumptions!$B$127</f>
        <v>100000</v>
      </c>
      <c r="L40" s="6" t="s">
        <v>113</v>
      </c>
    </row>
    <row r="41" customFormat="false" ht="15" hidden="false" customHeight="false" outlineLevel="0" collapsed="false">
      <c r="A41" s="3" t="s">
        <v>379</v>
      </c>
      <c r="C41" s="26" t="n">
        <f aca="false">IF(C39 &lt; C40, 1, 0)</f>
        <v>0</v>
      </c>
      <c r="D41" s="26" t="n">
        <f aca="false">IF(D39 &lt; D40, 1, 0)</f>
        <v>0</v>
      </c>
      <c r="E41" s="26" t="n">
        <f aca="false">IF(E39 &lt; E40, 1, 0)</f>
        <v>0</v>
      </c>
      <c r="F41" s="26" t="n">
        <f aca="false">IF(F39 &lt; F40, 1, 0)</f>
        <v>0</v>
      </c>
      <c r="G41" s="26" t="n">
        <f aca="false">IF(G39 &lt; G40, 1, 0)</f>
        <v>0</v>
      </c>
      <c r="H41" s="26" t="n">
        <f aca="false">IF(H39 &lt; H40, 1, 0)</f>
        <v>0</v>
      </c>
      <c r="I41" s="26" t="n">
        <f aca="false">IF(I39 &lt; I40, 1, 0)</f>
        <v>0</v>
      </c>
      <c r="L41" s="6" t="s">
        <v>380</v>
      </c>
    </row>
    <row r="42" customFormat="false" ht="15" hidden="false" customHeight="false" outlineLevel="0" collapsed="false">
      <c r="A42" s="3" t="s">
        <v>381</v>
      </c>
      <c r="C42" s="19" t="n">
        <f aca="true">C26 + C30 + OFFSET(C42, 0, -1)</f>
        <v>-248840.536903472</v>
      </c>
      <c r="D42" s="19" t="n">
        <f aca="true">D26 + D30 + OFFSET(D42, 0, -1)</f>
        <v>-682863.274813163</v>
      </c>
      <c r="E42" s="19" t="n">
        <f aca="true">E26 + E30 + OFFSET(E42, 0, -1)</f>
        <v>-1415430.41415345</v>
      </c>
      <c r="F42" s="19" t="n">
        <f aca="true">F26 + F30 + OFFSET(F42, 0, -1)</f>
        <v>-2273501.96876983</v>
      </c>
      <c r="G42" s="19" t="n">
        <f aca="true">G26 + G30 + OFFSET(G42, 0, -1)</f>
        <v>-3161170.25605211</v>
      </c>
      <c r="H42" s="19" t="n">
        <f aca="true">H26 + H30 + OFFSET(H42, 0, -1)</f>
        <v>-3708575.57126792</v>
      </c>
      <c r="I42" s="19" t="n">
        <f aca="true">I26 + I30 + OFFSET(I42, 0, -1)</f>
        <v>-3331069.02861143</v>
      </c>
      <c r="L42" s="6" t="s">
        <v>113</v>
      </c>
      <c r="M42" s="6" t="s">
        <v>382</v>
      </c>
    </row>
    <row r="44" customFormat="false" ht="19.5" hidden="false" customHeight="true" outlineLevel="0" collapsed="false">
      <c r="A44" s="7" t="s">
        <v>383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customFormat="false" ht="15" hidden="false" customHeight="false" outlineLevel="0" collapsed="false">
      <c r="A45" s="3" t="s">
        <v>384</v>
      </c>
      <c r="B45" s="39" t="n">
        <f aca="false">MIN(C39:I39)</f>
        <v>317136.725186837</v>
      </c>
      <c r="C45" s="36"/>
      <c r="D45" s="36"/>
      <c r="E45" s="36"/>
      <c r="F45" s="36"/>
      <c r="G45" s="36"/>
      <c r="H45" s="36"/>
      <c r="I45" s="36"/>
      <c r="J45" s="36"/>
      <c r="K45" s="36"/>
      <c r="L45" s="40" t="s">
        <v>113</v>
      </c>
      <c r="M45" s="40" t="s">
        <v>385</v>
      </c>
    </row>
    <row r="46" customFormat="false" ht="15" hidden="false" customHeight="false" outlineLevel="0" collapsed="false">
      <c r="A46" s="3" t="s">
        <v>386</v>
      </c>
      <c r="B46" s="41" t="str">
        <f aca="false">INDEX($C$4:$K$4, MATCH(MIN(C39:I39), C39:I39, 0))</f>
        <v>Y2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customFormat="false" ht="15" hidden="false" customHeight="false" outlineLevel="0" collapsed="false">
      <c r="A47" s="3" t="s">
        <v>387</v>
      </c>
      <c r="B47" s="39" t="n">
        <f aca="false">MIN(C42:K42)</f>
        <v>-3708575.57126792</v>
      </c>
      <c r="C47" s="36"/>
      <c r="D47" s="36"/>
      <c r="E47" s="36"/>
      <c r="F47" s="36"/>
      <c r="G47" s="36"/>
      <c r="H47" s="36"/>
      <c r="I47" s="36"/>
      <c r="J47" s="36"/>
      <c r="K47" s="36"/>
      <c r="L47" s="40" t="s">
        <v>113</v>
      </c>
      <c r="M47" s="40" t="s">
        <v>388</v>
      </c>
    </row>
    <row r="48" customFormat="false" ht="15" hidden="false" customHeight="false" outlineLevel="0" collapsed="false">
      <c r="A48" s="3" t="s">
        <v>389</v>
      </c>
      <c r="B48" s="41" t="str">
        <f aca="false">INDEX($C$4:$K$4, MATCH(MIN(C42:K42), C42:K42, 0))</f>
        <v>Y6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customFormat="false" ht="15" hidden="false" customHeight="false" outlineLevel="0" collapsed="false">
      <c r="A49" s="3" t="s">
        <v>390</v>
      </c>
      <c r="B49" s="39" t="n">
        <f aca="false">SUM(C33:K33)</f>
        <v>4200000</v>
      </c>
      <c r="C49" s="36"/>
      <c r="D49" s="36"/>
      <c r="E49" s="36"/>
      <c r="F49" s="36"/>
      <c r="G49" s="36"/>
      <c r="H49" s="36"/>
      <c r="I49" s="36"/>
      <c r="J49" s="36"/>
      <c r="K49" s="36"/>
      <c r="L49" s="40" t="s">
        <v>113</v>
      </c>
      <c r="M49" s="36"/>
    </row>
    <row r="50" customFormat="false" ht="15" hidden="false" customHeight="false" outlineLevel="0" collapsed="false">
      <c r="A50" s="3" t="s">
        <v>391</v>
      </c>
      <c r="B50" s="39" t="n">
        <f aca="false">SUM(C26:K26)</f>
        <v>-3219569.02861143</v>
      </c>
      <c r="C50" s="36"/>
      <c r="D50" s="36"/>
      <c r="E50" s="36"/>
      <c r="F50" s="36"/>
      <c r="G50" s="36"/>
      <c r="H50" s="36"/>
      <c r="I50" s="36"/>
      <c r="J50" s="36"/>
      <c r="K50" s="36"/>
      <c r="L50" s="40" t="s">
        <v>113</v>
      </c>
      <c r="M50" s="36"/>
    </row>
    <row r="51" customFormat="false" ht="15" hidden="false" customHeight="false" outlineLevel="0" collapsed="false">
      <c r="A51" s="3" t="s">
        <v>392</v>
      </c>
      <c r="B51" s="39" t="n">
        <f aca="false">-SUM(C29:K29)</f>
        <v>111500</v>
      </c>
      <c r="C51" s="36"/>
      <c r="D51" s="36"/>
      <c r="E51" s="36"/>
      <c r="F51" s="36"/>
      <c r="G51" s="36"/>
      <c r="H51" s="36"/>
      <c r="I51" s="36"/>
      <c r="J51" s="36"/>
      <c r="K51" s="36"/>
      <c r="L51" s="40" t="s">
        <v>113</v>
      </c>
      <c r="M51" s="36"/>
    </row>
    <row r="52" customFormat="false" ht="15" hidden="false" customHeight="false" outlineLevel="0" collapsed="false">
      <c r="A52" s="3" t="s">
        <v>393</v>
      </c>
      <c r="B52" s="41" t="str">
        <f aca="false">IFERROR(INDEX($C$4:$K$4, MATCH(TRUE(), C26:K26&gt;0, 0)), "—")</f>
        <v>Y7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customFormat="false" ht="15" hidden="false" customHeight="false" outlineLevel="0" collapsed="false">
      <c r="A53" s="3" t="s">
        <v>394</v>
      </c>
      <c r="B53" s="41" t="str">
        <f aca="false">IFERROR(INDEX($C$4:$K$4, MATCH(TRUE(), (C26:K26+C30:K30)&gt;0, 0)), "—")</f>
        <v>Y7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</sheetData>
  <mergeCells count="8">
    <mergeCell ref="A1:M1"/>
    <mergeCell ref="A2:M2"/>
    <mergeCell ref="A8:M8"/>
    <mergeCell ref="A15:M15"/>
    <mergeCell ref="A28:M28"/>
    <mergeCell ref="A32:M32"/>
    <mergeCell ref="A36:M36"/>
    <mergeCell ref="A44:M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2" min="12" style="0" width="16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C4" s="4" t="str">
        <f aca="false">Assumptions!C4</f>
        <v>Y1</v>
      </c>
      <c r="D4" s="4" t="str">
        <f aca="false">Assumptions!D4</f>
        <v>Y2</v>
      </c>
      <c r="E4" s="4" t="str">
        <f aca="false">Assumptions!E4</f>
        <v>Y3</v>
      </c>
      <c r="F4" s="4" t="str">
        <f aca="false">Assumptions!F4</f>
        <v>Y4</v>
      </c>
      <c r="G4" s="4" t="str">
        <f aca="false">Assumptions!G4</f>
        <v>Y5</v>
      </c>
      <c r="H4" s="4" t="str">
        <f aca="false">Assumptions!H4</f>
        <v>Y6</v>
      </c>
      <c r="I4" s="4" t="str">
        <f aca="false">Assumptions!I4</f>
        <v>Y7</v>
      </c>
    </row>
    <row r="5" customFormat="false" ht="15" hidden="false" customHeight="false" outlineLevel="0" collapsed="false">
      <c r="A5" s="3" t="s">
        <v>10</v>
      </c>
      <c r="C5" s="26" t="n">
        <f aca="false">Assumptions!C5</f>
        <v>1</v>
      </c>
      <c r="D5" s="26" t="n">
        <f aca="false">Assumptions!D5</f>
        <v>2</v>
      </c>
      <c r="E5" s="26" t="n">
        <f aca="false">Assumptions!E5</f>
        <v>3</v>
      </c>
      <c r="F5" s="26" t="n">
        <f aca="false">Assumptions!F5</f>
        <v>4</v>
      </c>
      <c r="G5" s="26" t="n">
        <f aca="false">Assumptions!G5</f>
        <v>5</v>
      </c>
      <c r="H5" s="26" t="n">
        <f aca="false">Assumptions!H5</f>
        <v>6</v>
      </c>
      <c r="I5" s="26" t="n">
        <f aca="false">Assumptions!I5</f>
        <v>7</v>
      </c>
    </row>
    <row r="6" customFormat="false" ht="15" hidden="false" customHeight="false" outlineLevel="0" collapsed="false">
      <c r="A6" s="3" t="s">
        <v>13</v>
      </c>
      <c r="C6" s="26" t="n">
        <f aca="false">Assumptions!C7</f>
        <v>1</v>
      </c>
      <c r="D6" s="26" t="n">
        <f aca="false">Assumptions!D7</f>
        <v>1</v>
      </c>
      <c r="E6" s="26" t="n">
        <f aca="false">Assumptions!E7</f>
        <v>2</v>
      </c>
      <c r="F6" s="26" t="n">
        <f aca="false">Assumptions!F7</f>
        <v>2</v>
      </c>
      <c r="G6" s="26" t="n">
        <f aca="false">Assumptions!G7</f>
        <v>3</v>
      </c>
      <c r="H6" s="26" t="n">
        <f aca="false">Assumptions!H7</f>
        <v>3</v>
      </c>
      <c r="I6" s="26" t="n">
        <f aca="false">Assumptions!I7</f>
        <v>3</v>
      </c>
    </row>
    <row r="8" customFormat="false" ht="19.5" hidden="false" customHeight="true" outlineLevel="0" collapsed="false">
      <c r="A8" s="7" t="s">
        <v>397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3" t="s">
        <v>398</v>
      </c>
      <c r="C9" s="27" t="n">
        <f aca="false">'Cash flow'!C39</f>
        <v>751159.463096528</v>
      </c>
      <c r="D9" s="27" t="n">
        <f aca="false">'Cash flow'!D39</f>
        <v>317136.725186837</v>
      </c>
      <c r="E9" s="27" t="n">
        <f aca="false">'Cash flow'!E39</f>
        <v>1334569.58584655</v>
      </c>
      <c r="F9" s="27" t="n">
        <f aca="false">'Cash flow'!F39</f>
        <v>476498.031230168</v>
      </c>
      <c r="G9" s="27" t="n">
        <f aca="false">'Cash flow'!G39</f>
        <v>1038829.74394789</v>
      </c>
      <c r="H9" s="27" t="n">
        <f aca="false">'Cash flow'!H39</f>
        <v>491424.428732085</v>
      </c>
      <c r="I9" s="27" t="n">
        <f aca="false">'Cash flow'!I39</f>
        <v>868930.971388569</v>
      </c>
      <c r="L9" s="6" t="s">
        <v>113</v>
      </c>
    </row>
    <row r="10" customFormat="false" ht="15" hidden="false" customHeight="false" outlineLevel="0" collapsed="false">
      <c r="A10" s="3" t="s">
        <v>399</v>
      </c>
      <c r="C10" s="27" t="n">
        <f aca="false">'Cash flow'!C18</f>
        <v>0</v>
      </c>
      <c r="D10" s="27" t="n">
        <f aca="false">'Cash flow'!D18</f>
        <v>0</v>
      </c>
      <c r="E10" s="27" t="n">
        <f aca="false">'Cash flow'!E18</f>
        <v>6590.95890410959</v>
      </c>
      <c r="F10" s="27" t="n">
        <f aca="false">'Cash flow'!F18</f>
        <v>26097.5342465753</v>
      </c>
      <c r="G10" s="27" t="n">
        <f aca="false">'Cash flow'!G18</f>
        <v>95353.6438356164</v>
      </c>
      <c r="H10" s="27" t="n">
        <f aca="false">'Cash flow'!H18</f>
        <v>212528.095890411</v>
      </c>
      <c r="I10" s="27" t="n">
        <f aca="false">'Cash flow'!I18</f>
        <v>490556.305479452</v>
      </c>
      <c r="L10" s="6" t="s">
        <v>113</v>
      </c>
    </row>
    <row r="11" customFormat="false" ht="15" hidden="false" customHeight="false" outlineLevel="0" collapsed="false">
      <c r="A11" s="3" t="s">
        <v>400</v>
      </c>
      <c r="C11" s="27" t="n">
        <f aca="false">'Cash flow'!C16</f>
        <v>0</v>
      </c>
      <c r="D11" s="27" t="n">
        <f aca="false">'Cash flow'!D16</f>
        <v>0</v>
      </c>
      <c r="E11" s="27" t="n">
        <f aca="false">'Cash flow'!E16</f>
        <v>6102.7397260274</v>
      </c>
      <c r="F11" s="27" t="n">
        <f aca="false">'Cash flow'!F16</f>
        <v>19889.3835616438</v>
      </c>
      <c r="G11" s="27" t="n">
        <f aca="false">'Cash flow'!G16</f>
        <v>63635.8561643836</v>
      </c>
      <c r="H11" s="27" t="n">
        <f aca="false">'Cash flow'!H16</f>
        <v>137317.900684932</v>
      </c>
      <c r="I11" s="27" t="n">
        <f aca="false">'Cash flow'!I16</f>
        <v>324829.31609589</v>
      </c>
      <c r="L11" s="6" t="s">
        <v>113</v>
      </c>
    </row>
    <row r="12" customFormat="false" ht="15" hidden="false" customHeight="false" outlineLevel="0" collapsed="false">
      <c r="A12" s="14" t="s">
        <v>401</v>
      </c>
      <c r="B12" s="15"/>
      <c r="C12" s="16" t="n">
        <f aca="false">SUM(C9:C11)</f>
        <v>751159.463096528</v>
      </c>
      <c r="D12" s="16" t="n">
        <f aca="false">SUM(D9:D11)</f>
        <v>317136.725186837</v>
      </c>
      <c r="E12" s="16" t="n">
        <f aca="false">SUM(E9:E11)</f>
        <v>1347263.28447669</v>
      </c>
      <c r="F12" s="16" t="n">
        <f aca="false">SUM(F9:F11)</f>
        <v>522484.949038387</v>
      </c>
      <c r="G12" s="16" t="n">
        <f aca="false">SUM(G9:G11)</f>
        <v>1197819.24394789</v>
      </c>
      <c r="H12" s="16" t="n">
        <f aca="false">SUM(H9:H11)</f>
        <v>841270.425307428</v>
      </c>
      <c r="I12" s="16" t="n">
        <f aca="false">SUM(I9:I11)</f>
        <v>1684316.59296391</v>
      </c>
      <c r="J12" s="15"/>
      <c r="K12" s="15"/>
      <c r="L12" s="17" t="s">
        <v>113</v>
      </c>
      <c r="M12" s="15"/>
    </row>
    <row r="14" customFormat="false" ht="15" hidden="false" customHeight="false" outlineLevel="0" collapsed="false">
      <c r="A14" s="3" t="s">
        <v>402</v>
      </c>
      <c r="C14" s="27" t="n">
        <f aca="false">Assumptions!C104</f>
        <v>6500</v>
      </c>
      <c r="D14" s="27" t="n">
        <f aca="false">Assumptions!D104</f>
        <v>12500</v>
      </c>
      <c r="E14" s="27" t="n">
        <f aca="false">Assumptions!E104</f>
        <v>27500</v>
      </c>
      <c r="F14" s="27" t="n">
        <f aca="false">Assumptions!F104</f>
        <v>47500</v>
      </c>
      <c r="G14" s="27" t="n">
        <f aca="false">Assumptions!G104</f>
        <v>77500</v>
      </c>
      <c r="H14" s="27" t="n">
        <f aca="false">Assumptions!H104</f>
        <v>89500</v>
      </c>
      <c r="I14" s="27" t="n">
        <f aca="false">Assumptions!I104</f>
        <v>111500</v>
      </c>
      <c r="L14" s="6" t="s">
        <v>113</v>
      </c>
    </row>
    <row r="15" customFormat="false" ht="15" hidden="false" customHeight="false" outlineLevel="0" collapsed="false">
      <c r="A15" s="3" t="s">
        <v>403</v>
      </c>
      <c r="C15" s="19" t="n">
        <f aca="false">-Assumptions!C106</f>
        <v>-1300</v>
      </c>
      <c r="D15" s="19" t="n">
        <f aca="false">-Assumptions!D106</f>
        <v>-3800</v>
      </c>
      <c r="E15" s="19" t="n">
        <f aca="false">-Assumptions!E106</f>
        <v>-9300</v>
      </c>
      <c r="F15" s="19" t="n">
        <f aca="false">-Assumptions!F106</f>
        <v>-18800</v>
      </c>
      <c r="G15" s="19" t="n">
        <f aca="false">-Assumptions!G106</f>
        <v>-34300</v>
      </c>
      <c r="H15" s="19" t="n">
        <f aca="false">-Assumptions!H106</f>
        <v>-50900</v>
      </c>
      <c r="I15" s="19" t="n">
        <f aca="false">-Assumptions!I106</f>
        <v>-69442.8571428571</v>
      </c>
      <c r="L15" s="6" t="s">
        <v>113</v>
      </c>
    </row>
    <row r="16" customFormat="false" ht="15" hidden="false" customHeight="false" outlineLevel="0" collapsed="false">
      <c r="A16" s="14" t="s">
        <v>169</v>
      </c>
      <c r="B16" s="15"/>
      <c r="C16" s="16" t="n">
        <f aca="false">C14 + C15</f>
        <v>5200</v>
      </c>
      <c r="D16" s="16" t="n">
        <f aca="false">D14 + D15</f>
        <v>8700</v>
      </c>
      <c r="E16" s="16" t="n">
        <f aca="false">E14 + E15</f>
        <v>18200</v>
      </c>
      <c r="F16" s="16" t="n">
        <f aca="false">F14 + F15</f>
        <v>28700</v>
      </c>
      <c r="G16" s="16" t="n">
        <f aca="false">G14 + G15</f>
        <v>43200</v>
      </c>
      <c r="H16" s="16" t="n">
        <f aca="false">H14 + H15</f>
        <v>38600</v>
      </c>
      <c r="I16" s="16" t="n">
        <f aca="false">I14 + I15</f>
        <v>42057.1428571429</v>
      </c>
      <c r="J16" s="15"/>
      <c r="K16" s="15"/>
      <c r="L16" s="17" t="s">
        <v>113</v>
      </c>
      <c r="M16" s="15"/>
    </row>
    <row r="18" customFormat="false" ht="15" hidden="false" customHeight="false" outlineLevel="0" collapsed="false">
      <c r="A18" s="14" t="s">
        <v>404</v>
      </c>
      <c r="B18" s="15"/>
      <c r="C18" s="16" t="n">
        <f aca="false">C12 + C16</f>
        <v>756359.463096528</v>
      </c>
      <c r="D18" s="16" t="n">
        <f aca="false">D12 + D16</f>
        <v>325836.725186837</v>
      </c>
      <c r="E18" s="16" t="n">
        <f aca="false">E12 + E16</f>
        <v>1365463.28447669</v>
      </c>
      <c r="F18" s="16" t="n">
        <f aca="false">F12 + F16</f>
        <v>551184.949038387</v>
      </c>
      <c r="G18" s="16" t="n">
        <f aca="false">G12 + G16</f>
        <v>1241019.24394789</v>
      </c>
      <c r="H18" s="16" t="n">
        <f aca="false">H12 + H16</f>
        <v>879870.425307428</v>
      </c>
      <c r="I18" s="16" t="n">
        <f aca="false">I12 + I16</f>
        <v>1726373.73582105</v>
      </c>
      <c r="J18" s="15"/>
      <c r="K18" s="15"/>
      <c r="L18" s="17" t="s">
        <v>113</v>
      </c>
      <c r="M18" s="15"/>
    </row>
    <row r="20" customFormat="false" ht="19.5" hidden="false" customHeight="true" outlineLevel="0" collapsed="false">
      <c r="A20" s="7" t="s">
        <v>405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false" outlineLevel="0" collapsed="false">
      <c r="A21" s="3" t="s">
        <v>406</v>
      </c>
      <c r="C21" s="27" t="n">
        <f aca="false">'Cash flow'!C20</f>
        <v>6164.38356164384</v>
      </c>
      <c r="D21" s="27" t="n">
        <f aca="false">'Cash flow'!D20</f>
        <v>28232.8767123288</v>
      </c>
      <c r="E21" s="27" t="n">
        <f aca="false">'Cash flow'!E20</f>
        <v>41757.5342465753</v>
      </c>
      <c r="F21" s="27" t="n">
        <f aca="false">'Cash flow'!F20</f>
        <v>50522.6712328767</v>
      </c>
      <c r="G21" s="27" t="n">
        <f aca="false">'Cash flow'!G20</f>
        <v>96866.4452054795</v>
      </c>
      <c r="H21" s="27" t="n">
        <f aca="false">'Cash flow'!H20</f>
        <v>167952.384246575</v>
      </c>
      <c r="I21" s="27" t="n">
        <f aca="false">'Cash flow'!I20</f>
        <v>313253.754041096</v>
      </c>
      <c r="L21" s="6" t="s">
        <v>113</v>
      </c>
    </row>
    <row r="22" customFormat="false" ht="15" hidden="false" customHeight="false" outlineLevel="0" collapsed="false">
      <c r="A22" s="3" t="s">
        <v>407</v>
      </c>
      <c r="C22" s="27" t="n">
        <f aca="false">'Cash flow'!C22</f>
        <v>0</v>
      </c>
      <c r="D22" s="27" t="n">
        <f aca="false">'Cash flow'!D22</f>
        <v>0</v>
      </c>
      <c r="E22" s="27" t="n">
        <f aca="false">'Cash flow'!E22</f>
        <v>13500</v>
      </c>
      <c r="F22" s="27" t="n">
        <f aca="false">'Cash flow'!F22</f>
        <v>66150</v>
      </c>
      <c r="G22" s="27" t="n">
        <f aca="false">'Cash flow'!G22</f>
        <v>167535</v>
      </c>
      <c r="H22" s="27" t="n">
        <f aca="false">'Cash flow'!H22</f>
        <v>398281.5</v>
      </c>
      <c r="I22" s="27" t="n">
        <f aca="false">'Cash flow'!I22</f>
        <v>875953.35</v>
      </c>
      <c r="L22" s="6" t="s">
        <v>113</v>
      </c>
    </row>
    <row r="23" customFormat="false" ht="15" hidden="false" customHeight="false" outlineLevel="0" collapsed="false">
      <c r="A23" s="14" t="s">
        <v>408</v>
      </c>
      <c r="B23" s="15"/>
      <c r="C23" s="16" t="n">
        <f aca="false">C21 + C22</f>
        <v>6164.38356164384</v>
      </c>
      <c r="D23" s="16" t="n">
        <f aca="false">D21 + D22</f>
        <v>28232.8767123288</v>
      </c>
      <c r="E23" s="16" t="n">
        <f aca="false">E21 + E22</f>
        <v>55257.5342465753</v>
      </c>
      <c r="F23" s="16" t="n">
        <f aca="false">F21 + F22</f>
        <v>116672.671232877</v>
      </c>
      <c r="G23" s="16" t="n">
        <f aca="false">G21 + G22</f>
        <v>264401.445205479</v>
      </c>
      <c r="H23" s="16" t="n">
        <f aca="false">H21 + H22</f>
        <v>566233.884246575</v>
      </c>
      <c r="I23" s="16" t="n">
        <f aca="false">I21 + I22</f>
        <v>1189207.1040411</v>
      </c>
      <c r="J23" s="15"/>
      <c r="K23" s="15"/>
      <c r="L23" s="17" t="s">
        <v>113</v>
      </c>
      <c r="M23" s="15"/>
    </row>
    <row r="25" customFormat="false" ht="15" hidden="false" customHeight="false" outlineLevel="0" collapsed="false">
      <c r="A25" s="14" t="s">
        <v>409</v>
      </c>
      <c r="B25" s="15"/>
      <c r="C25" s="16" t="n">
        <f aca="false">C23</f>
        <v>6164.38356164384</v>
      </c>
      <c r="D25" s="16" t="n">
        <f aca="false">D23</f>
        <v>28232.8767123288</v>
      </c>
      <c r="E25" s="16" t="n">
        <f aca="false">E23</f>
        <v>55257.5342465753</v>
      </c>
      <c r="F25" s="16" t="n">
        <f aca="false">F23</f>
        <v>116672.671232877</v>
      </c>
      <c r="G25" s="16" t="n">
        <f aca="false">G23</f>
        <v>264401.445205479</v>
      </c>
      <c r="H25" s="16" t="n">
        <f aca="false">H23</f>
        <v>566233.884246575</v>
      </c>
      <c r="I25" s="16" t="n">
        <f aca="false">I23</f>
        <v>1189207.1040411</v>
      </c>
      <c r="J25" s="15"/>
      <c r="K25" s="15"/>
      <c r="L25" s="17" t="s">
        <v>113</v>
      </c>
      <c r="M25" s="15"/>
    </row>
    <row r="27" customFormat="false" ht="19.5" hidden="false" customHeight="true" outlineLevel="0" collapsed="false">
      <c r="A27" s="7" t="s">
        <v>410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customFormat="false" ht="15" hidden="false" customHeight="false" outlineLevel="0" collapsed="false">
      <c r="A28" s="3" t="s">
        <v>411</v>
      </c>
      <c r="C28" s="19" t="n">
        <f aca="false">SUM(Assumptions!$C$126:C126)</f>
        <v>1000000</v>
      </c>
      <c r="D28" s="19" t="n">
        <f aca="false">SUM(Assumptions!$C$126:D126)</f>
        <v>1000000</v>
      </c>
      <c r="E28" s="19" t="n">
        <f aca="false">SUM(Assumptions!$C$126:E126)</f>
        <v>2750000</v>
      </c>
      <c r="F28" s="19" t="n">
        <f aca="false">SUM(Assumptions!$C$126:F126)</f>
        <v>2750000</v>
      </c>
      <c r="G28" s="19" t="n">
        <f aca="false">SUM(Assumptions!$C$126:G126)</f>
        <v>4200000</v>
      </c>
      <c r="H28" s="19" t="n">
        <f aca="false">SUM(Assumptions!$C$126:H126)</f>
        <v>4200000</v>
      </c>
      <c r="I28" s="19" t="n">
        <f aca="false">SUM(Assumptions!$C$126:I126)</f>
        <v>4200000</v>
      </c>
      <c r="L28" s="6" t="s">
        <v>113</v>
      </c>
      <c r="M28" s="6" t="s">
        <v>412</v>
      </c>
    </row>
    <row r="29" customFormat="false" ht="15" hidden="false" customHeight="false" outlineLevel="0" collapsed="false">
      <c r="A29" s="3" t="s">
        <v>413</v>
      </c>
      <c r="C29" s="19" t="n">
        <f aca="false">SUM('P&amp;L'!$C$75:C75)</f>
        <v>-249804.920465116</v>
      </c>
      <c r="D29" s="19" t="n">
        <f aca="false">SUM('P&amp;L'!$C$75:D75)</f>
        <v>-702396.151525491</v>
      </c>
      <c r="E29" s="19" t="n">
        <f aca="false">SUM('P&amp;L'!$C$75:E75)</f>
        <v>-1439794.24976989</v>
      </c>
      <c r="F29" s="19" t="n">
        <f aca="false">SUM('P&amp;L'!$C$75:F75)</f>
        <v>-2315487.72219449</v>
      </c>
      <c r="G29" s="19" t="n">
        <f aca="false">SUM('P&amp;L'!$C$75:G75)</f>
        <v>-3223382.20125759</v>
      </c>
      <c r="H29" s="19" t="n">
        <f aca="false">SUM('P&amp;L'!$C$75:H75)</f>
        <v>-3886363.45893915</v>
      </c>
      <c r="I29" s="19" t="n">
        <f aca="false">SUM('P&amp;L'!$C$75:I75)</f>
        <v>-3662833.36822004</v>
      </c>
      <c r="L29" s="6" t="s">
        <v>113</v>
      </c>
      <c r="M29" s="6" t="s">
        <v>414</v>
      </c>
    </row>
    <row r="30" customFormat="false" ht="15" hidden="false" customHeight="false" outlineLevel="0" collapsed="false">
      <c r="A30" s="14" t="s">
        <v>415</v>
      </c>
      <c r="B30" s="15"/>
      <c r="C30" s="16" t="n">
        <f aca="false">C28 + C29</f>
        <v>750195.079534884</v>
      </c>
      <c r="D30" s="16" t="n">
        <f aca="false">D28 + D29</f>
        <v>297603.848474509</v>
      </c>
      <c r="E30" s="16" t="n">
        <f aca="false">E28 + E29</f>
        <v>1310205.75023011</v>
      </c>
      <c r="F30" s="16" t="n">
        <f aca="false">F28 + F29</f>
        <v>434512.27780551</v>
      </c>
      <c r="G30" s="16" t="n">
        <f aca="false">G28 + G29</f>
        <v>976617.798742415</v>
      </c>
      <c r="H30" s="16" t="n">
        <f aca="false">H28 + H29</f>
        <v>313636.541060852</v>
      </c>
      <c r="I30" s="16" t="n">
        <f aca="false">I28 + I29</f>
        <v>537166.631779958</v>
      </c>
      <c r="J30" s="15"/>
      <c r="K30" s="15"/>
      <c r="L30" s="17" t="s">
        <v>113</v>
      </c>
      <c r="M30" s="15"/>
    </row>
    <row r="32" customFormat="false" ht="19.5" hidden="false" customHeight="true" outlineLevel="0" collapsed="false">
      <c r="A32" s="7" t="s">
        <v>416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customFormat="false" ht="15" hidden="false" customHeight="false" outlineLevel="0" collapsed="false">
      <c r="A33" s="14" t="s">
        <v>417</v>
      </c>
      <c r="B33" s="15"/>
      <c r="C33" s="16" t="n">
        <f aca="false">C25 + C30</f>
        <v>756359.463096528</v>
      </c>
      <c r="D33" s="16" t="n">
        <f aca="false">D25 + D30</f>
        <v>325836.725186837</v>
      </c>
      <c r="E33" s="16" t="n">
        <f aca="false">E25 + E30</f>
        <v>1365463.28447669</v>
      </c>
      <c r="F33" s="16" t="n">
        <f aca="false">F25 + F30</f>
        <v>551184.949038387</v>
      </c>
      <c r="G33" s="16" t="n">
        <f aca="false">G25 + G30</f>
        <v>1241019.24394789</v>
      </c>
      <c r="H33" s="16" t="n">
        <f aca="false">H25 + H30</f>
        <v>879870.425307427</v>
      </c>
      <c r="I33" s="16" t="n">
        <f aca="false">I25 + I30</f>
        <v>1726373.73582105</v>
      </c>
      <c r="J33" s="15"/>
      <c r="K33" s="15"/>
      <c r="L33" s="17" t="s">
        <v>113</v>
      </c>
      <c r="M33" s="15"/>
    </row>
    <row r="34" customFormat="false" ht="15" hidden="false" customHeight="false" outlineLevel="0" collapsed="false">
      <c r="A34" s="3" t="s">
        <v>418</v>
      </c>
      <c r="C34" s="19" t="n">
        <f aca="false">C18 - C33</f>
        <v>0</v>
      </c>
      <c r="D34" s="19" t="n">
        <f aca="false">D18 - D33</f>
        <v>0</v>
      </c>
      <c r="E34" s="19" t="n">
        <f aca="false">E18 - E33</f>
        <v>0</v>
      </c>
      <c r="F34" s="19" t="n">
        <f aca="false">F18 - F33</f>
        <v>0</v>
      </c>
      <c r="G34" s="19" t="n">
        <f aca="false">G18 - G33</f>
        <v>0</v>
      </c>
      <c r="H34" s="19" t="n">
        <f aca="false">H18 - H33</f>
        <v>0</v>
      </c>
      <c r="I34" s="19" t="n">
        <f aca="false">I18 - I33</f>
        <v>0</v>
      </c>
      <c r="L34" s="6" t="s">
        <v>113</v>
      </c>
    </row>
    <row r="35" customFormat="false" ht="15" hidden="false" customHeight="false" outlineLevel="0" collapsed="false">
      <c r="A35" s="3" t="s">
        <v>419</v>
      </c>
      <c r="C35" s="26" t="n">
        <f aca="false">IF(ABS(C34) &lt; 1, 1, 0)</f>
        <v>1</v>
      </c>
      <c r="D35" s="26" t="n">
        <f aca="false">IF(ABS(D34) &lt; 1, 1, 0)</f>
        <v>1</v>
      </c>
      <c r="E35" s="26" t="n">
        <f aca="false">IF(ABS(E34) &lt; 1, 1, 0)</f>
        <v>1</v>
      </c>
      <c r="F35" s="26" t="n">
        <f aca="false">IF(ABS(F34) &lt; 1, 1, 0)</f>
        <v>1</v>
      </c>
      <c r="G35" s="26" t="n">
        <f aca="false">IF(ABS(G34) &lt; 1, 1, 0)</f>
        <v>1</v>
      </c>
      <c r="H35" s="26" t="n">
        <f aca="false">IF(ABS(H34) &lt; 1, 1, 0)</f>
        <v>1</v>
      </c>
      <c r="I35" s="26" t="n">
        <f aca="false">IF(ABS(I34) &lt; 1, 1, 0)</f>
        <v>1</v>
      </c>
    </row>
  </sheetData>
  <mergeCells count="6">
    <mergeCell ref="A1:M1"/>
    <mergeCell ref="A2:M2"/>
    <mergeCell ref="A8:M8"/>
    <mergeCell ref="A20:M20"/>
    <mergeCell ref="A27:M27"/>
    <mergeCell ref="A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  <col collapsed="false" customWidth="true" hidden="false" outlineLevel="0" max="12" min="12" style="0" width="16"/>
    <col collapsed="false" customWidth="true" hidden="false" outlineLevel="0" max="13" min="13" style="0" width="50"/>
  </cols>
  <sheetData>
    <row r="1" customFormat="false" ht="17.35" hidden="false" customHeight="false" outlineLevel="0" collapsed="false">
      <c r="A1" s="1" t="s">
        <v>420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421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A4" s="7" t="s">
        <v>422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5" hidden="false" customHeight="false" outlineLevel="0" collapsed="false">
      <c r="A5" s="3" t="s">
        <v>423</v>
      </c>
      <c r="B5" s="42" t="n">
        <v>1</v>
      </c>
    </row>
    <row r="6" customFormat="false" ht="15" hidden="false" customHeight="false" outlineLevel="0" collapsed="false">
      <c r="A6" s="3" t="s">
        <v>424</v>
      </c>
      <c r="B6" s="3" t="str">
        <f aca="false">CHOOSE($B$5, "Base", "Downside", "Upside", "Reg Delay", "Best", "Worst")</f>
        <v>Base</v>
      </c>
    </row>
    <row r="8" customFormat="false" ht="19.5" hidden="false" customHeight="true" outlineLevel="0" collapsed="false">
      <c r="A8" s="7" t="s">
        <v>425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20" t="s">
        <v>426</v>
      </c>
      <c r="B9" s="21" t="s">
        <v>427</v>
      </c>
      <c r="C9" s="21" t="s">
        <v>428</v>
      </c>
      <c r="D9" s="21" t="s">
        <v>429</v>
      </c>
      <c r="E9" s="21" t="s">
        <v>430</v>
      </c>
      <c r="F9" s="21" t="s">
        <v>431</v>
      </c>
      <c r="G9" s="21" t="s">
        <v>432</v>
      </c>
      <c r="M9" s="20" t="s">
        <v>433</v>
      </c>
    </row>
    <row r="10" customFormat="false" ht="15" hidden="false" customHeight="false" outlineLevel="0" collapsed="false">
      <c r="A10" s="3" t="s">
        <v>434</v>
      </c>
      <c r="B10" s="43" t="n">
        <v>1</v>
      </c>
      <c r="C10" s="43" t="n">
        <v>0.5</v>
      </c>
      <c r="D10" s="43" t="n">
        <v>1.3</v>
      </c>
      <c r="E10" s="43" t="n">
        <v>1</v>
      </c>
      <c r="F10" s="43" t="n">
        <v>1.2</v>
      </c>
      <c r="G10" s="43" t="n">
        <v>0.8</v>
      </c>
      <c r="M10" s="6" t="s">
        <v>435</v>
      </c>
    </row>
    <row r="11" customFormat="false" ht="15" hidden="false" customHeight="false" outlineLevel="0" collapsed="false">
      <c r="A11" s="3" t="s">
        <v>436</v>
      </c>
      <c r="B11" s="43" t="n">
        <v>1</v>
      </c>
      <c r="C11" s="43" t="n">
        <v>1.3</v>
      </c>
      <c r="D11" s="43" t="n">
        <v>0.85</v>
      </c>
      <c r="E11" s="43" t="n">
        <v>1</v>
      </c>
      <c r="F11" s="43" t="n">
        <v>0.9</v>
      </c>
      <c r="G11" s="43" t="n">
        <v>1.25</v>
      </c>
      <c r="M11" s="6" t="s">
        <v>437</v>
      </c>
    </row>
    <row r="12" customFormat="false" ht="15" hidden="false" customHeight="false" outlineLevel="0" collapsed="false">
      <c r="A12" s="3" t="s">
        <v>438</v>
      </c>
      <c r="B12" s="43" t="n">
        <v>1</v>
      </c>
      <c r="C12" s="43" t="n">
        <v>1.5</v>
      </c>
      <c r="D12" s="43" t="n">
        <v>0.7</v>
      </c>
      <c r="E12" s="43" t="n">
        <v>1</v>
      </c>
      <c r="F12" s="43" t="n">
        <v>0.8</v>
      </c>
      <c r="G12" s="43" t="n">
        <v>1.5</v>
      </c>
      <c r="M12" s="6" t="s">
        <v>439</v>
      </c>
    </row>
    <row r="13" customFormat="false" ht="15" hidden="false" customHeight="false" outlineLevel="0" collapsed="false">
      <c r="A13" s="3" t="s">
        <v>440</v>
      </c>
      <c r="B13" s="43" t="n">
        <v>1</v>
      </c>
      <c r="C13" s="43" t="n">
        <v>1.1</v>
      </c>
      <c r="D13" s="43" t="n">
        <v>0.95</v>
      </c>
      <c r="E13" s="43" t="n">
        <v>1.05</v>
      </c>
      <c r="F13" s="43" t="n">
        <v>1</v>
      </c>
      <c r="G13" s="43" t="n">
        <v>1.1</v>
      </c>
      <c r="M13" s="6" t="s">
        <v>441</v>
      </c>
    </row>
    <row r="14" customFormat="false" ht="15" hidden="false" customHeight="false" outlineLevel="0" collapsed="false">
      <c r="A14" s="3" t="s">
        <v>442</v>
      </c>
      <c r="B14" s="43" t="n">
        <v>1</v>
      </c>
      <c r="C14" s="43" t="n">
        <v>1.2</v>
      </c>
      <c r="D14" s="43" t="n">
        <v>0.8</v>
      </c>
      <c r="E14" s="43" t="n">
        <v>1</v>
      </c>
      <c r="F14" s="43" t="n">
        <v>1</v>
      </c>
      <c r="G14" s="43" t="n">
        <v>1</v>
      </c>
      <c r="M14" s="6" t="s">
        <v>443</v>
      </c>
    </row>
    <row r="15" customFormat="false" ht="15" hidden="false" customHeight="false" outlineLevel="0" collapsed="false">
      <c r="A15" s="3" t="s">
        <v>444</v>
      </c>
      <c r="B15" s="43" t="n">
        <v>1</v>
      </c>
      <c r="C15" s="43" t="n">
        <v>1.5</v>
      </c>
      <c r="D15" s="43" t="n">
        <v>0.8</v>
      </c>
      <c r="E15" s="43" t="n">
        <v>1.4</v>
      </c>
      <c r="F15" s="43" t="n">
        <v>1</v>
      </c>
      <c r="G15" s="43" t="n">
        <v>1.2</v>
      </c>
      <c r="M15" s="6" t="s">
        <v>445</v>
      </c>
    </row>
    <row r="16" customFormat="false" ht="15" hidden="false" customHeight="false" outlineLevel="0" collapsed="false">
      <c r="A16" s="3" t="s">
        <v>446</v>
      </c>
      <c r="B16" s="5" t="n">
        <v>0</v>
      </c>
      <c r="C16" s="5" t="n">
        <v>0</v>
      </c>
      <c r="D16" s="5" t="n">
        <v>0</v>
      </c>
      <c r="E16" s="5" t="n">
        <v>1</v>
      </c>
      <c r="F16" s="5" t="n">
        <v>0</v>
      </c>
      <c r="G16" s="5" t="n">
        <v>1</v>
      </c>
      <c r="M16" s="6" t="s">
        <v>447</v>
      </c>
    </row>
    <row r="17" customFormat="false" ht="15" hidden="false" customHeight="false" outlineLevel="0" collapsed="false">
      <c r="A17" s="3" t="s">
        <v>448</v>
      </c>
      <c r="B17" s="43" t="n">
        <v>1</v>
      </c>
      <c r="C17" s="43" t="n">
        <v>1</v>
      </c>
      <c r="D17" s="43" t="n">
        <v>1</v>
      </c>
      <c r="E17" s="43" t="n">
        <v>1</v>
      </c>
      <c r="F17" s="43" t="n">
        <v>1.1</v>
      </c>
      <c r="G17" s="43" t="n">
        <v>0.875</v>
      </c>
      <c r="M17" s="6" t="s">
        <v>449</v>
      </c>
    </row>
    <row r="18" customFormat="false" ht="15" hidden="false" customHeight="false" outlineLevel="0" collapsed="false">
      <c r="A18" s="3" t="s">
        <v>450</v>
      </c>
      <c r="B18" s="43" t="n">
        <v>1</v>
      </c>
      <c r="C18" s="43" t="n">
        <v>1</v>
      </c>
      <c r="D18" s="43" t="n">
        <v>1</v>
      </c>
      <c r="E18" s="43" t="n">
        <v>1</v>
      </c>
      <c r="F18" s="43" t="n">
        <v>1.1</v>
      </c>
      <c r="G18" s="43" t="n">
        <v>0.875</v>
      </c>
      <c r="M18" s="6" t="s">
        <v>449</v>
      </c>
    </row>
    <row r="19" customFormat="false" ht="19.5" hidden="false" customHeight="true" outlineLevel="0" collapsed="false">
      <c r="A19" s="7" t="s">
        <v>451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customFormat="false" ht="15" hidden="false" customHeight="false" outlineLevel="0" collapsed="false">
      <c r="A20" s="20" t="s">
        <v>452</v>
      </c>
      <c r="B20" s="44" t="n">
        <f aca="false">CHOOSE($B$5, $B$10, $C$10, $D$10, $E$10, $F$10, $G$10)</f>
        <v>1</v>
      </c>
    </row>
    <row r="21" customFormat="false" ht="15" hidden="false" customHeight="false" outlineLevel="0" collapsed="false">
      <c r="A21" s="20" t="s">
        <v>453</v>
      </c>
      <c r="B21" s="44" t="n">
        <f aca="false">CHOOSE($B$5, $B$11, $C$11, $D$11, $E$11, $F$11, $G$11)</f>
        <v>1</v>
      </c>
    </row>
    <row r="22" customFormat="false" ht="15" hidden="false" customHeight="false" outlineLevel="0" collapsed="false">
      <c r="A22" s="20" t="s">
        <v>454</v>
      </c>
      <c r="B22" s="44" t="n">
        <f aca="false">CHOOSE($B$5, $B$12, $C$12, $D$12, $E$12, $F$12, $G$12)</f>
        <v>1</v>
      </c>
    </row>
    <row r="23" customFormat="false" ht="15" hidden="false" customHeight="false" outlineLevel="0" collapsed="false">
      <c r="A23" s="20" t="s">
        <v>455</v>
      </c>
      <c r="B23" s="44" t="n">
        <f aca="false">CHOOSE($B$5, $B$13, $C$13, $D$13, $E$13, $F$13, $G$13)</f>
        <v>1</v>
      </c>
    </row>
    <row r="24" customFormat="false" ht="15" hidden="false" customHeight="false" outlineLevel="0" collapsed="false">
      <c r="A24" s="20" t="s">
        <v>456</v>
      </c>
      <c r="B24" s="44" t="n">
        <f aca="false">CHOOSE($B$5, $B$14, $C$14, $D$14, $E$14, $F$14, $G$14)</f>
        <v>1</v>
      </c>
    </row>
    <row r="25" customFormat="false" ht="15" hidden="false" customHeight="false" outlineLevel="0" collapsed="false">
      <c r="A25" s="20" t="s">
        <v>457</v>
      </c>
      <c r="B25" s="44" t="n">
        <f aca="false">CHOOSE($B$5, $B$15, $C$15, $D$15, $E$15, $F$15, $G$15)</f>
        <v>1</v>
      </c>
    </row>
    <row r="26" customFormat="false" ht="15" hidden="false" customHeight="false" outlineLevel="0" collapsed="false">
      <c r="A26" s="20" t="s">
        <v>458</v>
      </c>
      <c r="B26" s="45" t="n">
        <f aca="false">CHOOSE($B$5, $B$16, $C$16, $D$16, $E$16, $F$16, $G$16)</f>
        <v>0</v>
      </c>
    </row>
    <row r="27" customFormat="false" ht="15" hidden="false" customHeight="false" outlineLevel="0" collapsed="false">
      <c r="A27" s="20" t="s">
        <v>459</v>
      </c>
      <c r="B27" s="44" t="n">
        <f aca="false">CHOOSE($B$5, $B$17, $C$17, $D$17, $E$17, $F$17, $G$17)</f>
        <v>1</v>
      </c>
    </row>
    <row r="28" customFormat="false" ht="15" hidden="false" customHeight="false" outlineLevel="0" collapsed="false">
      <c r="A28" s="20" t="s">
        <v>460</v>
      </c>
      <c r="B28" s="44" t="n">
        <f aca="false">CHOOSE($B$5, $B$18, $C$18, $D$18, $E$18, $F$18, $G$18)</f>
        <v>1</v>
      </c>
    </row>
    <row r="30" customFormat="false" ht="19.5" hidden="false" customHeight="true" outlineLevel="0" collapsed="false">
      <c r="A30" s="7" t="s">
        <v>461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customFormat="false" ht="15" hidden="false" customHeight="false" outlineLevel="0" collapsed="false">
      <c r="A31" s="20" t="s">
        <v>424</v>
      </c>
      <c r="B31" s="46" t="str">
        <f aca="false">$B$6</f>
        <v>Base</v>
      </c>
    </row>
    <row r="32" customFormat="false" ht="15" hidden="false" customHeight="false" outlineLevel="0" collapsed="false">
      <c r="A32" s="20" t="s">
        <v>462</v>
      </c>
      <c r="B32" s="35" t="n">
        <f aca="false">'P&amp;L'!I14</f>
        <v>3978956.7</v>
      </c>
    </row>
    <row r="33" customFormat="false" ht="15" hidden="false" customHeight="false" outlineLevel="0" collapsed="false">
      <c r="A33" s="20" t="s">
        <v>463</v>
      </c>
      <c r="B33" s="35" t="n">
        <f aca="false">'P&amp;L'!I23</f>
        <v>2398120.695</v>
      </c>
    </row>
    <row r="34" customFormat="false" ht="15" hidden="false" customHeight="false" outlineLevel="0" collapsed="false">
      <c r="A34" s="20" t="s">
        <v>464</v>
      </c>
      <c r="B34" s="35" t="n">
        <f aca="false">'P&amp;L'!I58</f>
        <v>149150.695</v>
      </c>
    </row>
    <row r="35" customFormat="false" ht="15" hidden="false" customHeight="false" outlineLevel="0" collapsed="false">
      <c r="A35" s="20" t="s">
        <v>465</v>
      </c>
      <c r="B35" s="35" t="n">
        <f aca="false">'P&amp;L'!I75</f>
        <v>223530.090719106</v>
      </c>
    </row>
    <row r="36" customFormat="false" ht="15" hidden="false" customHeight="false" outlineLevel="0" collapsed="false">
      <c r="A36" s="20" t="s">
        <v>466</v>
      </c>
      <c r="B36" s="35" t="n">
        <f aca="false">'Cash flow'!I39</f>
        <v>868930.971388569</v>
      </c>
    </row>
    <row r="37" customFormat="false" ht="15" hidden="false" customHeight="false" outlineLevel="0" collapsed="false">
      <c r="A37" s="20" t="s">
        <v>387</v>
      </c>
      <c r="B37" s="35" t="n">
        <f aca="false">'Cash flow'!B47</f>
        <v>-3708575.57126792</v>
      </c>
    </row>
    <row r="38" customFormat="false" ht="15" hidden="false" customHeight="false" outlineLevel="0" collapsed="false">
      <c r="A38" s="20" t="s">
        <v>393</v>
      </c>
      <c r="B38" s="46" t="str">
        <f aca="false">'Cash flow'!B52</f>
        <v>Y7</v>
      </c>
    </row>
    <row r="39" customFormat="false" ht="15" hidden="false" customHeight="false" outlineLevel="0" collapsed="false">
      <c r="A39" s="20" t="s">
        <v>467</v>
      </c>
      <c r="B39" s="35" t="n">
        <f aca="false">'Cash flow'!B49</f>
        <v>4200000</v>
      </c>
    </row>
    <row r="41" customFormat="false" ht="19.5" hidden="false" customHeight="true" outlineLevel="0" collapsed="false">
      <c r="A41" s="7" t="s">
        <v>468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customFormat="false" ht="15" hidden="false" customHeight="false" outlineLevel="0" collapsed="false">
      <c r="A42" s="20" t="s">
        <v>426</v>
      </c>
      <c r="B42" s="21" t="s">
        <v>469</v>
      </c>
      <c r="C42" s="21" t="s">
        <v>470</v>
      </c>
      <c r="D42" s="21" t="s">
        <v>471</v>
      </c>
      <c r="M42" s="20" t="s">
        <v>472</v>
      </c>
    </row>
    <row r="43" customFormat="false" ht="15" hidden="false" customHeight="false" outlineLevel="0" collapsed="false">
      <c r="A43" s="3" t="s">
        <v>473</v>
      </c>
      <c r="B43" s="19" t="n">
        <f aca="false">-0.2 * 'P&amp;L'!I23</f>
        <v>-479624.139</v>
      </c>
      <c r="C43" s="19" t="n">
        <f aca="false">0.2 * 'P&amp;L'!I23</f>
        <v>479624.139</v>
      </c>
      <c r="D43" s="19" t="n">
        <f aca="false">MAX(ABS(B43), ABS(C43))</f>
        <v>479624.139</v>
      </c>
      <c r="M43" s="6" t="s">
        <v>474</v>
      </c>
    </row>
    <row r="44" customFormat="false" ht="15" hidden="false" customHeight="false" outlineLevel="0" collapsed="false">
      <c r="A44" s="3" t="s">
        <v>475</v>
      </c>
      <c r="B44" s="19" t="n">
        <f aca="false">-0.15 * 'P&amp;L'!I10 * 0.85</f>
        <v>-223368.10425</v>
      </c>
      <c r="C44" s="19" t="n">
        <f aca="false">0.15 * 'P&amp;L'!I10 * 0.85</f>
        <v>223368.10425</v>
      </c>
      <c r="D44" s="19" t="n">
        <f aca="false">MAX(ABS(B44), ABS(C44))</f>
        <v>223368.10425</v>
      </c>
      <c r="M44" s="6" t="s">
        <v>476</v>
      </c>
    </row>
    <row r="45" customFormat="false" ht="15" hidden="false" customHeight="false" outlineLevel="0" collapsed="false">
      <c r="A45" s="3" t="s">
        <v>477</v>
      </c>
      <c r="B45" s="19" t="n">
        <f aca="false">-0.3 * 'P&amp;L'!I17</f>
        <v>-395415</v>
      </c>
      <c r="C45" s="19" t="n">
        <f aca="false">0.15 * 'P&amp;L'!I17</f>
        <v>197707.5</v>
      </c>
      <c r="D45" s="19" t="n">
        <f aca="false">MAX(ABS(B45), ABS(C45))</f>
        <v>395415</v>
      </c>
      <c r="M45" s="6" t="s">
        <v>478</v>
      </c>
    </row>
    <row r="46" customFormat="false" ht="15" hidden="false" customHeight="false" outlineLevel="0" collapsed="false">
      <c r="A46" s="3" t="s">
        <v>479</v>
      </c>
      <c r="B46" s="19" t="n">
        <f aca="false">-0.333 * 'P&amp;L'!I10 * 0.85</f>
        <v>-495877.191435</v>
      </c>
      <c r="C46" s="19" t="n">
        <f aca="false">0.333 * 'P&amp;L'!I10 * 0.85</f>
        <v>495877.191435</v>
      </c>
      <c r="D46" s="19" t="n">
        <f aca="false">MAX(ABS(B46), ABS(C46))</f>
        <v>495877.191435</v>
      </c>
      <c r="M46" s="6" t="s">
        <v>480</v>
      </c>
    </row>
    <row r="47" customFormat="false" ht="15" hidden="false" customHeight="false" outlineLevel="0" collapsed="false">
      <c r="A47" s="3" t="s">
        <v>481</v>
      </c>
      <c r="B47" s="19" t="n">
        <f aca="false">-0.15 * 'P&amp;L'!I9</f>
        <v>-334057.5</v>
      </c>
      <c r="C47" s="19" t="n">
        <f aca="false">0.15 * 'P&amp;L'!I9</f>
        <v>334057.5</v>
      </c>
      <c r="D47" s="19" t="n">
        <f aca="false">MAX(ABS(B47), ABS(C47))</f>
        <v>334057.5</v>
      </c>
      <c r="M47" s="6" t="s">
        <v>482</v>
      </c>
    </row>
    <row r="48" customFormat="false" ht="15" hidden="false" customHeight="false" outlineLevel="0" collapsed="false">
      <c r="A48" s="3" t="s">
        <v>483</v>
      </c>
      <c r="B48" s="19" t="n">
        <f aca="false">-0.1 * Assumptions!I69</f>
        <v>-128897</v>
      </c>
      <c r="C48" s="19" t="n">
        <f aca="false">0.1 * Assumptions!I69</f>
        <v>128897</v>
      </c>
      <c r="D48" s="19" t="n">
        <f aca="false">MAX(ABS(B48), ABS(C48))</f>
        <v>128897</v>
      </c>
      <c r="M48" s="6" t="s">
        <v>484</v>
      </c>
    </row>
    <row r="50" customFormat="false" ht="15" hidden="false" customHeight="false" outlineLevel="0" collapsed="false">
      <c r="A50" s="20" t="s">
        <v>485</v>
      </c>
    </row>
    <row r="51" customFormat="false" ht="15" hidden="false" customHeight="false" outlineLevel="0" collapsed="false">
      <c r="A51" s="2" t="s">
        <v>486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</sheetData>
  <mergeCells count="8">
    <mergeCell ref="A1:M1"/>
    <mergeCell ref="A2:M2"/>
    <mergeCell ref="A4:M4"/>
    <mergeCell ref="A8:M8"/>
    <mergeCell ref="A19:M19"/>
    <mergeCell ref="A30:M30"/>
    <mergeCell ref="A41:M41"/>
    <mergeCell ref="A51:M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2026-05-07T09:48:14Z</dcterms:created>
  <dc:creator>openpyxl</dc:creator>
  <dc:description/>
  <dc:language>en-US</dc:language>
  <cp:lastModifiedBy/>
  <dcterms:modified xsi:type="dcterms:W3CDTF">2026-05-07T09:48:14Z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